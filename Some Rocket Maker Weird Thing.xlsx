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4c1132a9a06cee12/Documents/SomRMWT/"/>
    </mc:Choice>
  </mc:AlternateContent>
  <xr:revisionPtr revIDLastSave="3024" documentId="8_{085A2D8C-39A3-49E4-8CEE-214FC540B867}" xr6:coauthVersionLast="47" xr6:coauthVersionMax="47" xr10:uidLastSave="{4540CE17-BD85-465E-AC4C-A9B3E5366989}"/>
  <bookViews>
    <workbookView xWindow="-108" yWindow="-108" windowWidth="23256" windowHeight="12456" activeTab="5" xr2:uid="{255BFBE9-9FC6-44F8-AB9D-453C5CE9D40B}"/>
  </bookViews>
  <sheets>
    <sheet name="Le Intro" sheetId="2" r:id="rId1"/>
    <sheet name="Data Input" sheetId="5" r:id="rId2"/>
    <sheet name="Initial Sizing" sheetId="1" r:id="rId3"/>
    <sheet name="Geometry" sheetId="7" r:id="rId4"/>
    <sheet name="Weight Analysis - Initial" sheetId="6" r:id="rId5"/>
    <sheet name="Log" sheetId="3" r:id="rId6"/>
  </sheets>
  <calcPr calcId="191029" iterate="1" iterateCount="20000" iterateDelta="1E-4"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7" l="1"/>
  <c r="H26" i="5" a="1"/>
  <c r="F28" i="5" a="1"/>
  <c r="F29" i="5" a="1"/>
  <c r="G19" i="7"/>
  <c r="G18" i="7"/>
  <c r="K44" i="1"/>
  <c r="D34" i="7"/>
  <c r="D35" i="7"/>
  <c r="D36" i="7"/>
  <c r="D37" i="7"/>
  <c r="D38" i="7"/>
  <c r="D39" i="7"/>
  <c r="D40" i="7"/>
  <c r="D41" i="7"/>
  <c r="D42" i="7"/>
  <c r="D33" i="7"/>
  <c r="C7" i="7"/>
  <c r="F19" i="5"/>
  <c r="G19" i="5"/>
  <c r="H31" i="3" a="1"/>
  <c r="D42" i="1"/>
  <c r="D43" i="1"/>
  <c r="D44" i="1"/>
  <c r="D45" i="1"/>
  <c r="B6" i="6"/>
  <c r="B7" i="6"/>
  <c r="E41" i="1"/>
  <c r="F11" i="1"/>
  <c r="F12" i="1"/>
  <c r="F13" i="1"/>
  <c r="F14" i="1"/>
  <c r="F15" i="1"/>
  <c r="F16" i="1"/>
  <c r="F17" i="1"/>
  <c r="F18" i="1"/>
  <c r="F19" i="1"/>
  <c r="F20" i="1"/>
  <c r="E17" i="5"/>
  <c r="D45" i="5"/>
  <c r="E18" i="5"/>
  <c r="D56" i="5"/>
  <c r="D46" i="5"/>
  <c r="D18" i="5"/>
  <c r="D57" i="5"/>
  <c r="D55" i="5"/>
  <c r="D47" i="5"/>
  <c r="D19" i="5"/>
  <c r="D24" i="5"/>
  <c r="E19" i="5"/>
  <c r="E24" i="5"/>
  <c r="C19" i="5"/>
  <c r="H19" i="5"/>
  <c r="I19" i="5"/>
  <c r="J19" i="5"/>
  <c r="K19" i="5"/>
  <c r="L19" i="5"/>
  <c r="C24" i="5"/>
  <c r="F24" i="5"/>
  <c r="G24" i="5"/>
  <c r="H24" i="5"/>
  <c r="I24" i="5"/>
  <c r="J24" i="5"/>
  <c r="K24" i="5"/>
  <c r="L24" i="5"/>
  <c r="F57" i="5"/>
  <c r="F56" i="5"/>
  <c r="F55" i="5"/>
  <c r="E57" i="5"/>
  <c r="E56" i="5"/>
  <c r="E55" i="5"/>
  <c r="D41" i="1"/>
  <c r="J42" i="1"/>
  <c r="J43" i="1"/>
  <c r="J41" i="1"/>
  <c r="D48" i="5"/>
  <c r="C58" i="5"/>
  <c r="C55" i="5"/>
  <c r="C56" i="5"/>
  <c r="D50" i="5"/>
  <c r="C60" i="5"/>
  <c r="C57" i="5"/>
  <c r="D49" i="5"/>
  <c r="C59" i="5"/>
  <c r="D51" i="5"/>
  <c r="C61" i="5"/>
  <c r="B10" i="1"/>
  <c r="G10" i="1"/>
  <c r="B11" i="1"/>
  <c r="G11" i="1"/>
  <c r="H11" i="1"/>
  <c r="F30" i="5" a="1"/>
  <c r="L11" i="1"/>
  <c r="M11" i="1"/>
  <c r="I11" i="1"/>
  <c r="F31" i="5" a="1"/>
  <c r="B12" i="1"/>
  <c r="G12" i="1"/>
  <c r="H12" i="1"/>
  <c r="J11" i="1"/>
  <c r="F32" i="5" a="1"/>
  <c r="N11" i="1"/>
  <c r="L12" i="1"/>
  <c r="M12" i="1"/>
  <c r="I12" i="1"/>
  <c r="F33" i="5" a="1"/>
  <c r="B13" i="1"/>
  <c r="G13" i="1"/>
  <c r="H13" i="1"/>
  <c r="J12" i="1"/>
  <c r="P9" i="1" a="1"/>
  <c r="N12" i="1"/>
  <c r="L13" i="1"/>
  <c r="M13" i="1"/>
  <c r="I13" i="1"/>
  <c r="B14" i="1"/>
  <c r="G14" i="1"/>
  <c r="H14" i="1"/>
  <c r="J13" i="1"/>
  <c r="N13" i="1"/>
  <c r="L14" i="1"/>
  <c r="M14" i="1"/>
  <c r="I14" i="1"/>
  <c r="J14" i="1"/>
  <c r="B15" i="1"/>
  <c r="G15" i="1"/>
  <c r="H15" i="1"/>
  <c r="N17" i="1"/>
  <c r="N18" i="1"/>
  <c r="N15" i="1"/>
  <c r="N16" i="1"/>
  <c r="N20" i="1"/>
  <c r="N19" i="1"/>
  <c r="N14" i="1"/>
  <c r="L15" i="1"/>
  <c r="M15" i="1"/>
  <c r="I15" i="1"/>
  <c r="J15" i="1"/>
  <c r="B16" i="1"/>
  <c r="G16" i="1"/>
  <c r="H16" i="1"/>
  <c r="I16" i="1"/>
  <c r="L16" i="1"/>
  <c r="M16" i="1"/>
  <c r="J16" i="1"/>
  <c r="B17" i="1"/>
  <c r="G17" i="1"/>
  <c r="H17" i="1"/>
  <c r="I17" i="1"/>
  <c r="L17" i="1"/>
  <c r="M17" i="1"/>
  <c r="J17" i="1"/>
  <c r="B18" i="1"/>
  <c r="G18" i="1"/>
  <c r="H18" i="1"/>
  <c r="L18" i="1"/>
  <c r="M18" i="1"/>
  <c r="I18" i="1"/>
  <c r="J18" i="1"/>
  <c r="B19" i="1"/>
  <c r="G19" i="1"/>
  <c r="H19" i="1"/>
  <c r="L19" i="1"/>
  <c r="M19" i="1"/>
  <c r="I19" i="1"/>
  <c r="B20" i="1"/>
  <c r="G20" i="1"/>
  <c r="H20" i="1"/>
  <c r="J19" i="1"/>
  <c r="I20" i="1"/>
  <c r="L20" i="1"/>
  <c r="M20" i="1"/>
  <c r="J20" i="1"/>
  <c r="I23" i="1" a="1"/>
  <c r="G25" i="1" a="1"/>
  <c r="G26" i="1" a="1"/>
  <c r="G27" i="1" a="1"/>
  <c r="G28" i="1" a="1"/>
  <c r="B8" i="6"/>
  <c r="G29" i="1" a="1"/>
  <c r="B9" i="6"/>
  <c r="G30" i="1" a="1"/>
  <c r="G32" i="1" a="1"/>
  <c r="B10" i="6"/>
  <c r="G33" i="1" a="1"/>
  <c r="G34"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Muhammad Naufal Afif</author>
  </authors>
  <commentList>
    <comment ref="C7" authorId="0" shapeId="0" xr:uid="{AD0FD935-1891-46C3-A7B1-5E23F1936181}">
      <text>
        <r>
          <rPr>
            <b/>
            <sz val="9"/>
            <color indexed="81"/>
            <rFont val="Tahoma"/>
            <family val="2"/>
          </rPr>
          <t xml:space="preserve">Note: 
</t>
        </r>
        <r>
          <rPr>
            <sz val="9"/>
            <color indexed="81"/>
            <rFont val="Tahoma"/>
            <family val="2"/>
          </rPr>
          <t>Rocket stages can only go up to 10 for now</t>
        </r>
      </text>
    </comment>
    <comment ref="C8" authorId="0" shapeId="0" xr:uid="{BB263E28-743B-4DC6-9D71-0BAB3C5269E8}">
      <text>
        <r>
          <rPr>
            <b/>
            <sz val="9"/>
            <color indexed="81"/>
            <rFont val="Tahoma"/>
            <family val="2"/>
          </rPr>
          <t xml:space="preserve">Note: 
</t>
        </r>
        <r>
          <rPr>
            <sz val="9"/>
            <color indexed="81"/>
            <rFont val="Tahoma"/>
            <family val="2"/>
          </rPr>
          <t>If you have no idea how to fill this, use largest payload mass to determine rocket size</t>
        </r>
      </text>
    </comment>
    <comment ref="B17" authorId="0" shapeId="0" xr:uid="{D1990184-C0FC-4A5E-9641-A67A3E51DA72}">
      <text>
        <r>
          <rPr>
            <b/>
            <sz val="9"/>
            <color indexed="81"/>
            <rFont val="Tahoma"/>
            <family val="2"/>
          </rPr>
          <t xml:space="preserve">Note: 
</t>
        </r>
        <r>
          <rPr>
            <sz val="9"/>
            <color indexed="81"/>
            <rFont val="Tahoma"/>
            <family val="2"/>
          </rPr>
          <t xml:space="preserve">If you only got the height of orbit as info, add 6,378,000 metres for equatorial performance
</t>
        </r>
      </text>
    </comment>
    <comment ref="C18" authorId="0" shapeId="0" xr:uid="{BEAC787E-D75E-4B46-925E-4ECCF3567332}">
      <text>
        <r>
          <rPr>
            <b/>
            <sz val="9"/>
            <color indexed="81"/>
            <rFont val="Tahoma"/>
            <family val="2"/>
          </rPr>
          <t xml:space="preserve">Note: 
</t>
        </r>
        <r>
          <rPr>
            <sz val="9"/>
            <color indexed="81"/>
            <rFont val="Tahoma"/>
            <family val="2"/>
          </rPr>
          <t>Fill in this cell if you select anything other than circular orbit</t>
        </r>
      </text>
    </comment>
    <comment ref="D18" authorId="0" shapeId="0" xr:uid="{566CCF5D-D7CD-474D-9A94-C26F8F322564}">
      <text>
        <r>
          <rPr>
            <b/>
            <sz val="9"/>
            <color indexed="81"/>
            <rFont val="Tahoma"/>
            <family val="2"/>
          </rPr>
          <t xml:space="preserve">Note: </t>
        </r>
        <r>
          <rPr>
            <sz val="9"/>
            <color indexed="81"/>
            <rFont val="Tahoma"/>
            <family val="2"/>
          </rPr>
          <t xml:space="preserve">
Fill in this cell if you select anything other than circular orbit</t>
        </r>
      </text>
    </comment>
    <comment ref="E18" authorId="0" shapeId="0" xr:uid="{DF54C8E6-CBB3-4755-8EE7-F0FC88AAE742}">
      <text>
        <r>
          <rPr>
            <b/>
            <sz val="9"/>
            <color indexed="81"/>
            <rFont val="Tahoma"/>
            <family val="2"/>
          </rPr>
          <t xml:space="preserve">Note: 
</t>
        </r>
        <r>
          <rPr>
            <sz val="9"/>
            <color indexed="81"/>
            <rFont val="Tahoma"/>
            <family val="2"/>
          </rPr>
          <t xml:space="preserve">Fill in this cell if you select anything other than circular orbit
</t>
        </r>
      </text>
    </comment>
    <comment ref="F18" authorId="0" shapeId="0" xr:uid="{9303B6F1-F7BB-499A-B58A-BA8F8291AC31}">
      <text>
        <r>
          <rPr>
            <b/>
            <sz val="9"/>
            <color indexed="81"/>
            <rFont val="Tahoma"/>
            <family val="2"/>
          </rPr>
          <t xml:space="preserve">Note: 
</t>
        </r>
        <r>
          <rPr>
            <sz val="9"/>
            <color indexed="81"/>
            <rFont val="Tahoma"/>
            <family val="2"/>
          </rPr>
          <t xml:space="preserve">
Fill in this cell if you select anything other than circular orbit
</t>
        </r>
      </text>
    </comment>
    <comment ref="G18" authorId="0" shapeId="0" xr:uid="{DBA57A00-0D4F-4392-97A7-2400DFA51CA4}">
      <text>
        <r>
          <rPr>
            <b/>
            <sz val="9"/>
            <color indexed="81"/>
            <rFont val="Tahoma"/>
            <family val="2"/>
          </rPr>
          <t xml:space="preserve">Note: 
</t>
        </r>
        <r>
          <rPr>
            <sz val="9"/>
            <color indexed="81"/>
            <rFont val="Tahoma"/>
            <family val="2"/>
          </rPr>
          <t xml:space="preserve">
Fill in this cell if you select anything other than circular orbit</t>
        </r>
      </text>
    </comment>
    <comment ref="H18" authorId="0" shapeId="0" xr:uid="{C38870EE-4F92-4658-93AC-70EEEA509C56}">
      <text>
        <r>
          <rPr>
            <b/>
            <sz val="9"/>
            <color indexed="81"/>
            <rFont val="Tahoma"/>
            <family val="2"/>
          </rPr>
          <t xml:space="preserve">Note: 
</t>
        </r>
        <r>
          <rPr>
            <sz val="9"/>
            <color indexed="81"/>
            <rFont val="Tahoma"/>
            <family val="2"/>
          </rPr>
          <t xml:space="preserve">
Fill in this cell if you select anything other than circular orbit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Muhammad Naufal Afif</author>
  </authors>
  <commentList>
    <comment ref="B10" authorId="0" shapeId="0" xr:uid="{7A0BA3AD-71AC-4293-BC10-7D291049C67C}">
      <text>
        <r>
          <rPr>
            <b/>
            <sz val="9"/>
            <color indexed="81"/>
            <rFont val="Tahoma"/>
            <family val="2"/>
          </rPr>
          <t>Payload?</t>
        </r>
        <r>
          <rPr>
            <sz val="9"/>
            <color indexed="81"/>
            <rFont val="Tahoma"/>
            <family val="2"/>
          </rPr>
          <t xml:space="preserve">
Insert intended payload mass here. Just one is enough
(Note: already connected with initial sizing, but eh, you can edit it too)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Muhammad Naufal Afif</author>
  </authors>
  <commentList>
    <comment ref="B12" authorId="0" shapeId="0" xr:uid="{CB5F8879-9A8E-4DE4-A71E-B990AF1125CF}">
      <text>
        <r>
          <rPr>
            <b/>
            <sz val="9"/>
            <color indexed="81"/>
            <rFont val="Tahoma"/>
            <family val="2"/>
          </rPr>
          <t>Muhammad Naufal Afif:</t>
        </r>
        <r>
          <rPr>
            <sz val="9"/>
            <color indexed="81"/>
            <rFont val="Tahoma"/>
            <family val="2"/>
          </rPr>
          <t xml:space="preserve">
Fill as many as stages in rocket and none else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3"/>
        </ext>
      </extLst>
    </bk>
    <bk>
      <extLst>
        <ext uri="{3e2802c4-a4d2-4d8b-9148-e3be6c30e623}">
          <xlrd:rvb i="4"/>
        </ext>
      </extLst>
    </bk>
    <bk>
      <extLst>
        <ext uri="{3e2802c4-a4d2-4d8b-9148-e3be6c30e623}">
          <xlrd:rvb i="8"/>
        </ext>
      </extLst>
    </bk>
  </futureMetadata>
  <cellMetadata count="1">
    <bk>
      <rc t="1" v="0"/>
    </bk>
  </cellMetadata>
  <valueMetadata count="3">
    <bk>
      <rc t="2" v="0"/>
    </bk>
    <bk>
      <rc t="2" v="1"/>
    </bk>
    <bk>
      <rc t="2" v="2"/>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data_input_df = pd.DataFrame(
                             data = np.array(xl(%P2%)), 
                             index = xl(%P3%).squeeze(), 
                             columns = xl(%P4%).squeeze()
                             )</code>
    </pythonScript>
    <pythonScript>
      <code>from statistics import geometric_mean
try: 
    wadidaw = geometric_mean(data_input_df.loc["Payload", "Primary Mission":"Mission #10"].dropna())
except: 
    wadidaw = "¯\_(ツ)_/¯"
wadidaw</code>
    </pythonScript>
    <pythonScript>
      <code xml:space="preserve">from statistics import geometric_mean
subset = data_input_df.loc["Assumed ideal single-stage delta-v requirement", "Primary Mission":"Mission #10"]
try: 
    float_values = subset[subset.apply(lambda x: isinstance(x, float))]
    wadidaw = geometric_mean(float_values)
except: 
    wadidaw = "¯\_(ツ)_/¯"
wadidaw
</code>
    </pythonScript>
    <pythonScript>
      <code>from statistics import fmean
try: 
    subset = data_input_df.loc["Expected mission orbit inclination", "Primary Mission":"Mission #10"].dropna()
    wadidaw = fmean(subset)
except: 
    wadidaw = "¯\_(ツ)_/¯"
wadidaw</code>
    </pythonScript>
    <pythonScript>
      <code>from statistics import geometric_mean
subset = pd.concat([data_input_df.loc["Expected primary launch site latitude", "Primary Mission":"Mission #10"], data_input_df.loc["Expected secondary launch site latitude", "Primary Mission":"Mission #10"]], ignore_index = True)
try: 
    float_values = subset[subset.apply(lambda x: isinstance(x, float))]
    wadidaw = geometric_mean(float_values)
except: 
    wadidaw = "¯\_(ツ)_/¯"
wadidaw</code>
    </pythonScript>
    <pythonScript>
      <code>from statistics import geometric_mean
subset = data_input_df.loc["Total delta-v needed", "Primary Mission":"Mission #10"]
try: 
    float_values = subset[subset.apply(lambda x: isinstance(x, float))]
    wadidaw = geometric_mean(float_values)
except: 
    wadidaw = "¯\_(ツ)_/¯"
wadidaw</code>
    </pythonScript>
    <pythonScript>
      <code>subset = data_input_df.loc["Total delta-v needed", "Primary Mission":"Mission #10"]
try: 
    float_values = subset[subset.apply(lambda x: isinstance(x, float))]
    wadidaw = np.max(float_values)
except: 
    wadidaw = "¯\_(ツ)_/¯"
wadidaw</code>
    </pythonScript>
    <pythonScript>
      <code>from pathlib import Path as p_ingfo
with open(f"{p_ingfo.cwd()}//Python Dependencies//init_sizing.py") as bruh:
     exec(bruh.read())</code>
    </pythonScript>
    <pythonScript>
      <code xml:space="preserve">init_sizing_df = xl(%P2%, headers=True)
</code>
    </pythonScript>
    <pythonScript>
      <code>init_sizing_df["Stage"][xl(%P2%)]</code>
    </pythonScript>
    <pythonScript>
      <code>init_sizing_df["Total delta-v"][xl(%P2%)]</code>
    </pythonScript>
    <pythonScript>
      <code>init_sizing_df["Stage dry mass"][1:xl(%P2%) + 1].sum()</code>
    </pythonScript>
    <pythonScript>
      <code>init_sizing_df["Wet mass"][1:xl(%P2%) + 1].sum()</code>
    </pythonScript>
    <pythonScript>
      <code>def icikiwir(): 
    if xl(%P2%) &gt;= xl(%P3%): 
        return "Yes! OwO"
    else: 
        return "No... T_T"
icikiwir()</code>
    </pythonScript>
    <pythonScript>
      <code>from scipy import optimize
import math
import contextlib
# Initial guesses and parameters
init_guess = xl(%P2%)
decision = xl(%P3%)
pmf = xl(%P4%)
dmr = xl(%P5%)
limitations = [pmf, dmr]
average_delta_v = xl(%P6%)
max_delta_v = xl(%P7%)
# Extract last stage parameters as scalars
last_stage_final_mass = init_sizing_df[init_sizing_df["Stage"] == xl(%P8%)]["Final mass"].astype("float64").values[0]
last_stage_specimpulse = init_sizing_df[init_sizing_df["Stage"] == xl(%P9%)]["Specific impulse"].astype("float64").values[0]
# Defining the function to be optimized
def optimised_function(propratio, dryratio, final_mass, specimpulse):
    stage_dry_mass = dryratio * final_mass
    propellant_mass = (propratio * (stage_dry_mass + final_mass)) / (1 - propratio)
    return 9.81 * specimpulse * math.log((stage_dry_mass + propellant_mass) / stage_dry_mass)
# Wrapper for optimization to handle a single variable input
def objective_function(propratio):
    return -optimised_function(propratio, dmr, last_stage_final_mass, last_stage_specimpulse)
# Main Loop
def wakwaw(decision): 
    if decision == "YES": 
        # Perform optimization
        result = optimize.minimize_scalar(objective_function, bounds = (0.01, 0.99), method="bounded", options={"xtol": 1e-10})
        if result.success:
            optimized_value = -result.fun  # Negate back to get the actual value
            if optimized_value &gt;= average_delta_v and optimized_value &gt;= max_delta_v:
                return optimized_value
            else:
                return "Result has not been optimized. Do it again! :D"
        else:
            return "Optimization failed."
    else:
        return init_guess  # Return initial guess if decision is not "YES"
# Call the function and store result
real_result = wakwaw(decision)
# Output result (you can also set this in a specific cell in Excel)
real_result</code>
    </pythonScript>
  </pythonScripts>
</python>
</file>

<file path=xl/sharedStrings.xml><?xml version="1.0" encoding="utf-8"?>
<sst xmlns="http://schemas.openxmlformats.org/spreadsheetml/2006/main" count="418" uniqueCount="289">
  <si>
    <t>Stage</t>
  </si>
  <si>
    <t>Payload</t>
  </si>
  <si>
    <t>Final mass</t>
  </si>
  <si>
    <t>Fuel</t>
  </si>
  <si>
    <t>Fuel type?</t>
  </si>
  <si>
    <t>Fuel (solid)</t>
  </si>
  <si>
    <t>Fuel (liquid)</t>
  </si>
  <si>
    <t>Solid</t>
  </si>
  <si>
    <t>Liquid</t>
  </si>
  <si>
    <t>Rocket candy</t>
  </si>
  <si>
    <t>HTPB (LAPAN)</t>
  </si>
  <si>
    <t>Some weird third thing</t>
  </si>
  <si>
    <t>Fuel (IDFK)</t>
  </si>
  <si>
    <t>ALICE (Ice + Al)</t>
  </si>
  <si>
    <t>In vacuum?</t>
  </si>
  <si>
    <t>Specific impulse</t>
  </si>
  <si>
    <t>Wet mass</t>
  </si>
  <si>
    <t>Total impulse</t>
  </si>
  <si>
    <t>Thrust</t>
  </si>
  <si>
    <t>Vacuum?</t>
  </si>
  <si>
    <t>YES</t>
  </si>
  <si>
    <t>NO</t>
  </si>
  <si>
    <t>Isp (solid, vacuum)</t>
  </si>
  <si>
    <t>Isp (solid, SL)</t>
  </si>
  <si>
    <t>Isp (liquid, vacuum)</t>
  </si>
  <si>
    <t>Isp (liquid, SL)</t>
  </si>
  <si>
    <t>Isp (IDFK, vacuum)</t>
  </si>
  <si>
    <t>Isp (IDFK, SL)</t>
  </si>
  <si>
    <t>Burn time</t>
  </si>
  <si>
    <t>Propellant mass</t>
  </si>
  <si>
    <t>Methalox (LOX/CH4)</t>
  </si>
  <si>
    <t>Hydrolox (LOX/LH2)</t>
  </si>
  <si>
    <t>Kerolox (LOX/RP-1)</t>
  </si>
  <si>
    <t>N2O4/N2H4</t>
  </si>
  <si>
    <t>Total delta-v</t>
  </si>
  <si>
    <t>Stages</t>
  </si>
  <si>
    <t>HOW TO TABLE</t>
  </si>
  <si>
    <t>-</t>
  </si>
  <si>
    <t>m*s^-1</t>
  </si>
  <si>
    <t>kg</t>
  </si>
  <si>
    <t>HOW TO OTHER TABLE</t>
  </si>
  <si>
    <t>Stage dry mass</t>
  </si>
  <si>
    <t>Empty weight</t>
  </si>
  <si>
    <t>Wanna be a co-author? Contact me! -&gt; m.naufal.afif.2001@gmail.com</t>
  </si>
  <si>
    <t>Date and Time</t>
  </si>
  <si>
    <t>Revision</t>
  </si>
  <si>
    <t>Addition</t>
  </si>
  <si>
    <t>Who?*</t>
  </si>
  <si>
    <t>Abbr.</t>
  </si>
  <si>
    <t>Name</t>
  </si>
  <si>
    <t>Work/School</t>
  </si>
  <si>
    <t>[MNA]</t>
  </si>
  <si>
    <t>11/01/2025, 23:00 UTC+7</t>
  </si>
  <si>
    <t>1. Initial sizing
2. Introduction Page</t>
  </si>
  <si>
    <t>1. Log</t>
  </si>
  <si>
    <t>12/01/2025, 05:07 UTC+7</t>
  </si>
  <si>
    <t>Undergraduate Student
Aerospace Engineering Study Program, Faculty of Mechanic and Aerospace Engineering
Institut Teknologi Bandung</t>
  </si>
  <si>
    <t xml:space="preserve">Last revision by: </t>
  </si>
  <si>
    <r>
      <t xml:space="preserve">
</t>
    </r>
    <r>
      <rPr>
        <b/>
        <sz val="11"/>
        <color theme="1"/>
        <rFont val="Aptos Narrow"/>
        <family val="2"/>
        <scheme val="minor"/>
      </rPr>
      <t xml:space="preserve">Main references: </t>
    </r>
    <r>
      <rPr>
        <sz val="11"/>
        <color theme="1"/>
        <rFont val="Aptos Narrow"/>
        <family val="2"/>
        <scheme val="minor"/>
      </rPr>
      <t xml:space="preserve">
[UwU] Rocket Propulsion Elements, Seventh Edition - George P. Sutton and Oscar Billarz
[OwO] Design of Rockets and Space Launch Vehicles, Second Edition - Don Edberg and Willie Costa
</t>
    </r>
  </si>
  <si>
    <t>1. Added to-do list in Intro page
2. Revised wording in Intro page</t>
  </si>
  <si>
    <t>12/01/2025,15:01 UTC+7</t>
  </si>
  <si>
    <t>13/01/2025, 05:18 UTC+7</t>
  </si>
  <si>
    <t>1. Added expected features</t>
  </si>
  <si>
    <t>APCP</t>
  </si>
  <si>
    <t>HTPB/Paraffin</t>
  </si>
  <si>
    <t>LOX/HTPB</t>
  </si>
  <si>
    <t>N2O4/MMH</t>
  </si>
  <si>
    <t>N2O4/UDMH×N2H4
(Aerozine 50)</t>
  </si>
  <si>
    <t>N2O4/UDMH</t>
  </si>
  <si>
    <t>Black powder</t>
  </si>
  <si>
    <t>1. Uploaded file to Github for further collaboration</t>
  </si>
  <si>
    <t>13/01/2025, 11:40 UTC+7</t>
  </si>
  <si>
    <t>13/01/2025, 11:41 UTC+7</t>
  </si>
  <si>
    <t>1. Revised Github readme, therefore intro spreadsheet</t>
  </si>
  <si>
    <t>CO-AUTHORS! PLEASE FILL IN LOG AFTER EDITING! UNLESS MAKING A NEW VERSION, UNLISTED CHANGES ARE NOT RECOGNISED AND WILL BE RECTIFIED!!!</t>
  </si>
  <si>
    <t>[REP]</t>
  </si>
  <si>
    <t>[TIO]</t>
  </si>
  <si>
    <t>Ir. Toto Indriyanto, M.Sc., Ph.D.</t>
  </si>
  <si>
    <t>Lecturer
Aerospace Engineering Study Program, Faculty of Mechanic and Aerospace Engineering
Institut Teknologi Bandung</t>
  </si>
  <si>
    <t>Dr. Eng. Ridanto Eko Poetro, S.T, M.Sc.</t>
  </si>
  <si>
    <t>13/01/2025, 11:51 UTC+7</t>
  </si>
  <si>
    <t>1. Some formatting changes to intro spreadsheet and or Github readme</t>
  </si>
  <si>
    <t>Rocket Name</t>
  </si>
  <si>
    <t>Expected Stages</t>
  </si>
  <si>
    <t>Secondary Mission</t>
  </si>
  <si>
    <t>Attribute</t>
  </si>
  <si>
    <t xml:space="preserve">What kind of mission? </t>
  </si>
  <si>
    <t>Primary Mission</t>
  </si>
  <si>
    <t>Tertiary Mission</t>
  </si>
  <si>
    <t>Mission #4</t>
  </si>
  <si>
    <t>Mission #5</t>
  </si>
  <si>
    <t>Mission #6</t>
  </si>
  <si>
    <t>Mission #7</t>
  </si>
  <si>
    <t>Mission #8</t>
  </si>
  <si>
    <t>Mission #9</t>
  </si>
  <si>
    <t>Mission #10</t>
  </si>
  <si>
    <t>Expected Rocket Diameter</t>
  </si>
  <si>
    <t xml:space="preserve">What kind of orbit? </t>
  </si>
  <si>
    <t>Expected semi-major axis</t>
  </si>
  <si>
    <t>Easy enough. Just insert your data in the yellow-tinted cells, also the orange one if you're feeling frisky since those are optional. You can add more missions if you like. All other sheets refer to data inputed here</t>
  </si>
  <si>
    <t>Expected gimbal angle</t>
  </si>
  <si>
    <t>Expected mission orbit inclination</t>
  </si>
  <si>
    <t>Expected Rocket Size (NASA)</t>
  </si>
  <si>
    <t>Smoli (0 - 2000 kg)</t>
  </si>
  <si>
    <t>Imouto (2000 - 20000 kg)</t>
  </si>
  <si>
    <t>Beeg (20000 - 50000 lkg)</t>
  </si>
  <si>
    <t>CHONKER (&gt; 50000 kg)</t>
  </si>
  <si>
    <t>MEO</t>
  </si>
  <si>
    <t>Interplanetary (to Sun)</t>
  </si>
  <si>
    <t>Expected primary launch site latitude</t>
  </si>
  <si>
    <t>Circular</t>
  </si>
  <si>
    <t>Eliptical</t>
  </si>
  <si>
    <t>Interplanetary (away from Sun)</t>
  </si>
  <si>
    <t>Not applicable</t>
  </si>
  <si>
    <t>Expected secondary launch site latitude</t>
  </si>
  <si>
    <t>Total delta-v needed</t>
  </si>
  <si>
    <t>(Boolean)</t>
  </si>
  <si>
    <t>DO NOT EDIT THIS TABLE!!!</t>
  </si>
  <si>
    <t>Expected Rocket Statistics</t>
  </si>
  <si>
    <t>Average payload size</t>
  </si>
  <si>
    <t>Average launch site inclination</t>
  </si>
  <si>
    <t>Average total delta-v requirement</t>
  </si>
  <si>
    <t>degrees</t>
  </si>
  <si>
    <t>m.s^-1</t>
  </si>
  <si>
    <t>ROwOcket</t>
  </si>
  <si>
    <t>PRELIMINARY ROCKET STATS</t>
  </si>
  <si>
    <t>13/01/2025, 19:21 UTC+7</t>
  </si>
  <si>
    <t>1. Data input</t>
  </si>
  <si>
    <t>HOW TO TABLES</t>
  </si>
  <si>
    <t>Ctrl+; and then Ctrl+Shift+; on the date and time cell before inserting your local time zone. Pick your abbreviation (that can be set on the orange table). State in a numbered list concisely what you've done. Copy your Github commits here if you came from there</t>
  </si>
  <si>
    <t>1. Initial sizing sheet now interconnected with data input data
2. Additional details on how to input logs
3. Some more statistics on initial sizing</t>
  </si>
  <si>
    <t>Single-stage delta-v for mission</t>
  </si>
  <si>
    <t>LEO (ISS mission mostly)</t>
  </si>
  <si>
    <t>Insert numbers in yellow-tinted cells. Boosters not supported yet, nor coasting</t>
  </si>
  <si>
    <t>Average single-stage ideal delta-v</t>
  </si>
  <si>
    <t>Translunar (assuming LEO parking orbit)</t>
  </si>
  <si>
    <t>Trans-Mars (assuming LEO parking orbit)</t>
  </si>
  <si>
    <t>NOR THIS ONE!!!</t>
  </si>
  <si>
    <t>V: Orbit? | -&gt; Orbit type?</t>
  </si>
  <si>
    <t>14/01/2025, 14:13 UTC+7</t>
  </si>
  <si>
    <t>1. Delta-v calculation in input sheet
2. Started work on the orbital calculation for input (single-stage to desired orbit)</t>
  </si>
  <si>
    <t>[JHS]</t>
  </si>
  <si>
    <t>Parabolic</t>
  </si>
  <si>
    <t>Expected (periapsis) radius</t>
  </si>
  <si>
    <t>GEO/GTO</t>
  </si>
  <si>
    <t>Hyperbolic (assuming a 1 km/s speed)</t>
  </si>
  <si>
    <t>Desired Rocket Payload Ratio (0 -1)</t>
  </si>
  <si>
    <t>Desired propellant mass fraction (0 - 1)</t>
  </si>
  <si>
    <t>Desired dry mass ratio (0 - 1)</t>
  </si>
  <si>
    <t>Liftoff weight</t>
  </si>
  <si>
    <t>14/01/2025, 21:18 UTC+7</t>
  </si>
  <si>
    <t>1. Finally made data input work
2. Proper initial sizing, about damn time</t>
  </si>
  <si>
    <t>15/01/2025, 10:59 UTC+7</t>
  </si>
  <si>
    <t>1. Improved data input</t>
  </si>
  <si>
    <t>16/01/2025, 08:51 UTC+7</t>
  </si>
  <si>
    <t>1. Improved initial sizing, now with Python!
2. Put initial sizing data as pandas dataframe</t>
  </si>
  <si>
    <t>Average orbit inclination</t>
  </si>
  <si>
    <t>16/01/2025, 13:08 UTC+7</t>
  </si>
  <si>
    <t>1. Improved needed delta-v budget calculations</t>
  </si>
  <si>
    <t>Benedict Julian Zefanya Batubara</t>
  </si>
  <si>
    <t>[BJB]</t>
  </si>
  <si>
    <t>16/01/2025, 16:18 UTC+7</t>
  </si>
  <si>
    <t>Maximum total delta-v requirement</t>
  </si>
  <si>
    <t>Fulfils average delta-v?</t>
  </si>
  <si>
    <t>Fulfils max delta-v?</t>
  </si>
  <si>
    <t>^ DO NOT EVER TOUCH THIS CELL!!!</t>
  </si>
  <si>
    <r>
      <t xml:space="preserve">References: </t>
    </r>
    <r>
      <rPr>
        <sz val="11"/>
        <color theme="1"/>
        <rFont val="Aptos Narrow"/>
        <family val="2"/>
        <scheme val="minor"/>
      </rPr>
      <t>[OwO]</t>
    </r>
  </si>
  <si>
    <t>17/01/2025, 16:50 UTC+7</t>
  </si>
  <si>
    <t>1. Improved expected rocket statistics in data input: Now With Python!
2. Improved log tracking
3. Improved initial sizing</t>
  </si>
  <si>
    <t>DO NOT EVER TOUCH THIS CELL!!! -&gt;</t>
  </si>
  <si>
    <t>Optimise rocket?</t>
  </si>
  <si>
    <t>Optimised delta-v budget</t>
  </si>
  <si>
    <t>Calculated delta-v budget</t>
  </si>
  <si>
    <t>22/01/2025, 16:30 UTC+7</t>
  </si>
  <si>
    <t>1. Revised Python code for data sizing
2. Switched Python-enabled cell from being Python objects to become Excel values</t>
  </si>
  <si>
    <t>1. "Goal seek" optimisation for rocket initial sizing</t>
  </si>
  <si>
    <t>Graduate
Aerospace Engineering Study Program, Faculty of Mechanic and Aerospace Engineering
Institut Teknologi Bandung</t>
  </si>
  <si>
    <t>20/08/2025, 14:20 UTC+7</t>
  </si>
  <si>
    <t>1. Revised lead contributor's position</t>
  </si>
  <si>
    <t>Muhammad Naufal Afif, S.T.</t>
  </si>
  <si>
    <t>[DAS]</t>
  </si>
  <si>
    <t>David Soegijanto, S.T.</t>
  </si>
  <si>
    <t>Graduate Student
Aerospace Engineering Study Program, Faculty of Mechanic and Aerospace Engineering
Institut Teknologi Bandung</t>
  </si>
  <si>
    <t>21/08/2025, 21:46 UTC+7</t>
  </si>
  <si>
    <t>1. Added new contributor
2. Update README.md in GitHub
3. Updated SomRMWT in GitHub</t>
  </si>
  <si>
    <t>1. Uploaded revision to GitHub
     a.Officially added co-authors
     b. Refined initial sizing algorithm</t>
  </si>
  <si>
    <t>[BGD]</t>
  </si>
  <si>
    <t>Graduate
Computer Engineering Study Program, Faculty of Engineering
Bina Nusantara University</t>
  </si>
  <si>
    <t>Bagaskara Adhiguna, S.T.</t>
  </si>
  <si>
    <t>Insert numbers in yellow-tinted cells, optionally in orange-tinted one.</t>
  </si>
  <si>
    <t>Propellant mass fraction</t>
  </si>
  <si>
    <t>Dry mass ratio</t>
  </si>
  <si>
    <t>Max. possble delta-V, initial sizing (m*s^-1)</t>
  </si>
  <si>
    <t>GLOW, initial sizing (kg)</t>
  </si>
  <si>
    <t>Empty weight, initial sizing (kg)</t>
  </si>
  <si>
    <t>Things inputted</t>
  </si>
  <si>
    <t>Input value</t>
  </si>
  <si>
    <t>Desired thrust-to-weight ratio</t>
  </si>
  <si>
    <t>General subdvision</t>
  </si>
  <si>
    <t>Specific subdivision</t>
  </si>
  <si>
    <t>Value</t>
  </si>
  <si>
    <t>Fuel type</t>
  </si>
  <si>
    <t>Proportion, fuel</t>
  </si>
  <si>
    <t>Proportion, oxidiser</t>
  </si>
  <si>
    <t>N2O4/UDMH×N2H4 (Aerozine 50)</t>
  </si>
  <si>
    <t>DON'T TOUCH THIS TABLE AAAAAAAAAAAAAAAAAAA--</t>
  </si>
  <si>
    <t>Unit</t>
  </si>
  <si>
    <t>Propellant</t>
  </si>
  <si>
    <t>Oxidiser</t>
  </si>
  <si>
    <t>Structure</t>
  </si>
  <si>
    <t>Tanks</t>
  </si>
  <si>
    <t>"Skeleton"</t>
  </si>
  <si>
    <t>27/08/2025, 00:08 UTC+7</t>
  </si>
  <si>
    <t>1. Added contributor and revised position
2. Cosmetic improvements</t>
  </si>
  <si>
    <t>1. Fuel-oxidiser ratio table
2. Weight Analysis - Initial
3. Python coding as separate .py files for initial sizing and weight analysis</t>
  </si>
  <si>
    <r>
      <t xml:space="preserve">
</t>
    </r>
    <r>
      <rPr>
        <b/>
        <sz val="11"/>
        <color theme="1"/>
        <rFont val="Aptos Narrow"/>
        <family val="2"/>
        <scheme val="minor"/>
      </rPr>
      <t>What Even Is This?</t>
    </r>
    <r>
      <rPr>
        <sz val="11"/>
        <color theme="1"/>
        <rFont val="Aptos Narrow"/>
        <family val="2"/>
        <scheme val="minor"/>
      </rPr>
      <t xml:space="preserve">
SomRMWT is a rocket designer built using Excel and coded partially in Python, designed for hobby rocketry, academic purposes as teaching tool, or conceptual rocket designs. Started when Muhammad Naufal Afif was bored on his sixth year studying aerospace engineering, it provides "good enough" data as baseline for future rocket designs. Currently, it consists of a data input sheet, a rocket initial sizing tool, and weight analysis tool. Contributions from those with expertise or interest in rocketry are highly encouraged to enhance its capabilities.
</t>
    </r>
  </si>
  <si>
    <t>27/08/2025, 21:01 UTC+7</t>
  </si>
  <si>
    <t>1. Information update on "Le Intro"</t>
  </si>
  <si>
    <t>[1] = R. A. Braeunig, “Rocket propellants,” Rocket and Space Technology, 2008. http://www.braeunig.us/space/propel.htm (accessed Mar. 07, 2026).</t>
  </si>
  <si>
    <t xml:space="preserve">APCP×PBAN ([UwU], [1]) </t>
  </si>
  <si>
    <t xml:space="preserve">APCP×HTPB ([UwU], [1]) </t>
  </si>
  <si>
    <r>
      <rPr>
        <b/>
        <sz val="11"/>
        <color theme="1"/>
        <rFont val="Aptos Narrow"/>
        <family val="2"/>
        <scheme val="minor"/>
      </rPr>
      <t xml:space="preserve">References: </t>
    </r>
    <r>
      <rPr>
        <sz val="11"/>
        <color theme="1"/>
        <rFont val="Aptos Narrow"/>
        <family val="2"/>
        <scheme val="minor"/>
      </rPr>
      <t>[UwU], [OwO], [1], [2]</t>
    </r>
  </si>
  <si>
    <t>[2] = D. K. Huzel and D. H. Huang, “Design of Liquid Propellant Rocket Engines Second edition,” NASA Technical Reports Server (NTRS), Jan. 01, 1967. https://ntrs.nasa.gov/citations/19710019929</t>
  </si>
  <si>
    <t>Stage delta-v</t>
  </si>
  <si>
    <t>STAGES</t>
  </si>
  <si>
    <t>Number</t>
  </si>
  <si>
    <t>DIMENSIONS</t>
  </si>
  <si>
    <t>Stage diameter</t>
  </si>
  <si>
    <t>Engine layout</t>
  </si>
  <si>
    <t>1. Geometry, owo~!</t>
  </si>
  <si>
    <t>Jethro Hotasi Sinaga, S.T.</t>
  </si>
  <si>
    <t>1. Switched Gemoetry and Weight Analysis place in the workflow (Excel: L –&gt; R)
2.  Revised a contributor's title</t>
  </si>
  <si>
    <t>22/09/2026, 15:04 UTC+7</t>
  </si>
  <si>
    <t>Engine number</t>
  </si>
  <si>
    <t>PROPORTION</t>
  </si>
  <si>
    <t>Interstage fairing</t>
  </si>
  <si>
    <t>Computer stuff</t>
  </si>
  <si>
    <t>Engine</t>
  </si>
  <si>
    <t>%</t>
  </si>
  <si>
    <t>Data</t>
  </si>
  <si>
    <t>Sub-data</t>
  </si>
  <si>
    <t>m</t>
  </si>
  <si>
    <t>DRAWING SIZE</t>
  </si>
  <si>
    <t>Size</t>
  </si>
  <si>
    <t>Width</t>
  </si>
  <si>
    <t>Height</t>
  </si>
  <si>
    <t>DO NOT TOUCH THE FIRST TWO COLUMNS!!! Insert fuel type in the fuel columns and subsequently its specific impulse in the respective columns. When one isn't available, approximate SLIsp = 0.667*VacIsp or inversely VacIsp = 1.5*SLIsp</t>
  </si>
  <si>
    <t>MMH only (NASA OMS)</t>
  </si>
  <si>
    <t>Single</t>
  </si>
  <si>
    <t>Cruciform</t>
  </si>
  <si>
    <t>Circle</t>
  </si>
  <si>
    <t>Circle w/ middle</t>
  </si>
  <si>
    <t>Grid (F9 before Block 5)</t>
  </si>
  <si>
    <t>Linear</t>
  </si>
  <si>
    <t>Paper size</t>
  </si>
  <si>
    <t>Width (mm)</t>
  </si>
  <si>
    <t>Height (mm)</t>
  </si>
  <si>
    <t>2A0</t>
  </si>
  <si>
    <t>A0</t>
  </si>
  <si>
    <t>A1</t>
  </si>
  <si>
    <t>A2</t>
  </si>
  <si>
    <t>A3</t>
  </si>
  <si>
    <t>A4</t>
  </si>
  <si>
    <t>A5</t>
  </si>
  <si>
    <t>A6</t>
  </si>
  <si>
    <t>Scale to reality</t>
  </si>
  <si>
    <t>4A0</t>
  </si>
  <si>
    <t> 841</t>
  </si>
  <si>
    <t> 594</t>
  </si>
  <si>
    <t> 420</t>
  </si>
  <si>
    <t> 297</t>
  </si>
  <si>
    <t> 210</t>
  </si>
  <si>
    <t> 148</t>
  </si>
  <si>
    <t>Assumed ideal single-stage delta-v requirement</t>
  </si>
  <si>
    <t>Drawing style</t>
  </si>
  <si>
    <t>American (third-angle)</t>
  </si>
  <si>
    <t>European (first-angle)</t>
  </si>
  <si>
    <t>Total height</t>
  </si>
  <si>
    <t>Per-stage height</t>
  </si>
  <si>
    <t>Payload (fairing)</t>
  </si>
  <si>
    <t>Insert numbers in yellow-tinted cells. The initial geometry will be shown in the chart aside the inputs.</t>
  </si>
  <si>
    <t>1. Housekeeping
2. Sortation of features in "Le Intro"
3. Further progress on geometry
4. Revised a contributor's position</t>
  </si>
  <si>
    <t>* = (Co-)Authors Abbreviation Index
Enter current work position or schooling institution, using official English name. Company names must be the legal one, not just the brand
If you can't disclose where you work (Academic institution MUST be disclosed), fill with [LE SECRET ONHONHON~]</t>
  </si>
  <si>
    <t>23/09/2026, 22:53 UTC+7</t>
  </si>
  <si>
    <t>Some Rocket Maker Weird Thing (SomRMWT) - Alpha v0.4.rev1 - 23/09/2026</t>
  </si>
  <si>
    <r>
      <rPr>
        <i/>
        <sz val="11"/>
        <color theme="1"/>
        <rFont val="Aptos Narrow"/>
        <family val="2"/>
        <scheme val="minor"/>
      </rPr>
      <t xml:space="preserve">"Yes, this is real. Yes, I'm bored. No, I do have a life." </t>
    </r>
    <r>
      <rPr>
        <sz val="11"/>
        <color theme="1"/>
        <rFont val="Aptos Narrow"/>
        <family val="2"/>
        <scheme val="minor"/>
      </rPr>
      <t xml:space="preserve">
– Muhammad Naufal Afif, 11/01/2025</t>
    </r>
  </si>
  <si>
    <r>
      <rPr>
        <b/>
        <sz val="11"/>
        <color theme="1"/>
        <rFont val="Aptos Narrow"/>
        <family val="2"/>
        <scheme val="minor"/>
      </rPr>
      <t xml:space="preserve">
General Guidelines: 
</t>
    </r>
    <r>
      <rPr>
        <sz val="11"/>
        <color theme="1"/>
        <rFont val="Aptos Narrow"/>
        <family val="2"/>
        <scheme val="minor"/>
      </rPr>
      <t xml:space="preserve">Follow the stated instruction for each spreadsheet. 
</t>
    </r>
  </si>
  <si>
    <r>
      <rPr>
        <sz val="11"/>
        <color theme="1"/>
        <rFont val="Aptos Narrow"/>
        <family val="2"/>
        <scheme val="minor"/>
      </rPr>
      <t xml:space="preserve">
Must Haves Before Entering Full Release (Optional Components): </t>
    </r>
    <r>
      <rPr>
        <b/>
        <sz val="11"/>
        <color theme="1"/>
        <rFont val="Aptos Narrow"/>
        <family val="2"/>
        <scheme val="minor"/>
      </rPr>
      <t xml:space="preserve">
     </t>
    </r>
    <r>
      <rPr>
        <sz val="11"/>
        <color theme="1"/>
        <rFont val="Aptos Narrow"/>
        <family val="2"/>
        <scheme val="minor"/>
      </rPr>
      <t>1. Benchmarking Against Competitors
     2. Payload Maker
     3. Engine Performance (complete with thrust chart maker)
          a. Hybrid Propellant 
     4. Trajectory Visualiser (integrated to Mission Planner)
     5. Cost Analysis
     6. Further breakdown as standalone Python/Rust program
     7. Aerodynamic Analysis</t>
    </r>
    <r>
      <rPr>
        <b/>
        <sz val="11"/>
        <color theme="1"/>
        <rFont val="Aptos Narrow"/>
        <family val="2"/>
        <scheme val="minor"/>
      </rPr>
      <t xml:space="preserve">
</t>
    </r>
  </si>
  <si>
    <r>
      <t xml:space="preserve">Features to be Added
</t>
    </r>
    <r>
      <rPr>
        <sz val="11"/>
        <color theme="1"/>
        <rFont val="Aptos Narrow"/>
        <family val="2"/>
        <scheme val="minor"/>
      </rPr>
      <t xml:space="preserve">Must Haves Before Entering Beta Stage (Essential Components): </t>
    </r>
    <r>
      <rPr>
        <b/>
        <sz val="11"/>
        <color theme="1"/>
        <rFont val="Aptos Narrow"/>
        <family val="2"/>
        <scheme val="minor"/>
      </rPr>
      <t xml:space="preserve">
     </t>
    </r>
    <r>
      <rPr>
        <strike/>
        <sz val="11"/>
        <color theme="1"/>
        <rFont val="Aptos Narrow"/>
        <family val="2"/>
        <scheme val="minor"/>
      </rPr>
      <t>1. Data Input</t>
    </r>
    <r>
      <rPr>
        <sz val="11"/>
        <color theme="1"/>
        <rFont val="Aptos Narrow"/>
        <family val="2"/>
        <scheme val="minor"/>
      </rPr>
      <t xml:space="preserve"> </t>
    </r>
    <r>
      <rPr>
        <b/>
        <sz val="11"/>
        <color theme="1"/>
        <rFont val="Aptos Narrow"/>
        <family val="2"/>
        <scheme val="minor"/>
      </rPr>
      <t>(DONE!)</t>
    </r>
    <r>
      <rPr>
        <sz val="11"/>
        <color theme="1"/>
        <rFont val="Aptos Narrow"/>
        <family val="2"/>
        <scheme val="minor"/>
      </rPr>
      <t xml:space="preserve">
     </t>
    </r>
    <r>
      <rPr>
        <strike/>
        <sz val="11"/>
        <color theme="1"/>
        <rFont val="Aptos Narrow"/>
        <family val="2"/>
        <scheme val="minor"/>
      </rPr>
      <t>2. Initial Sizing</t>
    </r>
    <r>
      <rPr>
        <sz val="11"/>
        <color theme="1"/>
        <rFont val="Aptos Narrow"/>
        <family val="2"/>
        <scheme val="minor"/>
      </rPr>
      <t xml:space="preserve"> </t>
    </r>
    <r>
      <rPr>
        <b/>
        <sz val="11"/>
        <color theme="1"/>
        <rFont val="Aptos Narrow"/>
        <family val="2"/>
        <scheme val="minor"/>
      </rPr>
      <t>(DONE!)</t>
    </r>
    <r>
      <rPr>
        <sz val="11"/>
        <color theme="1"/>
        <rFont val="Aptos Narrow"/>
        <family val="2"/>
        <scheme val="minor"/>
      </rPr>
      <t xml:space="preserve">
     3. Rocket Geometry Drawer (a la Taufiq Mulyanto's AISAT)
     4. Weight Analysis
     5. Engine Performance (complete with thrust chart maker)
           a. Solid Propellant 
           b. Liquid Propellant
     6. Mission Planner Using RocketPy</t>
    </r>
    <r>
      <rPr>
        <b/>
        <sz val="11"/>
        <color theme="1"/>
        <rFont val="Aptos Narrow"/>
        <family val="2"/>
        <scheme val="minor"/>
      </rPr>
      <t xml:space="preserve">
</t>
    </r>
    <r>
      <rPr>
        <sz val="11"/>
        <color theme="1"/>
        <rFont val="Aptos Narrow"/>
        <family val="2"/>
        <scheme val="minor"/>
      </rPr>
      <t xml:space="preserve">     7. de Laval Nozzle Maker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</si>
</sst>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
  </numFmts>
  <fonts count="15" x14ac:knownFonts="1">
    <font>
      <sz val="11"/>
      <color theme="1"/>
      <name val="Aptos Narrow"/>
      <family val="2"/>
      <scheme val="minor"/>
    </font>
    <font>
      <b/>
      <sz val="11"/>
      <color theme="0"/>
      <name val="Aptos Narrow"/>
      <family val="2"/>
      <scheme val="minor"/>
    </font>
    <font>
      <sz val="8"/>
      <name val="Aptos Narrow"/>
      <family val="2"/>
      <scheme val="minor"/>
    </font>
    <font>
      <sz val="9"/>
      <color indexed="81"/>
      <name val="Tahoma"/>
      <family val="2"/>
    </font>
    <font>
      <b/>
      <sz val="9"/>
      <color indexed="81"/>
      <name val="Tahoma"/>
      <family val="2"/>
    </font>
    <font>
      <b/>
      <sz val="20"/>
      <color theme="1"/>
      <name val="Aptos Narrow"/>
      <family val="2"/>
      <scheme val="minor"/>
    </font>
    <font>
      <b/>
      <sz val="11"/>
      <color theme="1"/>
      <name val="Aptos Narrow"/>
      <family val="2"/>
      <scheme val="minor"/>
    </font>
    <font>
      <b/>
      <sz val="16"/>
      <color theme="0"/>
      <name val="Aptos Narrow"/>
      <family val="2"/>
      <scheme val="minor"/>
    </font>
    <font>
      <b/>
      <sz val="14"/>
      <color theme="1"/>
      <name val="Aptos Narrow"/>
      <family val="2"/>
      <scheme val="minor"/>
    </font>
    <font>
      <i/>
      <sz val="11"/>
      <color theme="1"/>
      <name val="Aptos Narrow"/>
      <family val="2"/>
      <scheme val="minor"/>
    </font>
    <font>
      <sz val="20"/>
      <color theme="1"/>
      <name val="Aptos Narrow"/>
      <family val="2"/>
      <scheme val="minor"/>
    </font>
    <font>
      <u/>
      <sz val="11"/>
      <color theme="10"/>
      <name val="Aptos Narrow"/>
      <family val="2"/>
      <scheme val="minor"/>
    </font>
    <font>
      <sz val="8"/>
      <color rgb="FF202122"/>
      <name val="Arial"/>
      <family val="2"/>
    </font>
    <font>
      <sz val="11"/>
      <color rgb="FF202122"/>
      <name val="Aptos Narrow"/>
      <family val="2"/>
      <scheme val="minor"/>
    </font>
    <font>
      <strike/>
      <sz val="11"/>
      <color theme="1"/>
      <name val="Aptos Narrow"/>
      <family val="2"/>
      <scheme val="minor"/>
    </font>
  </fonts>
  <fills count="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theme="4" tint="0.79998168889431442"/>
        <bgColor indexed="64"/>
      </patternFill>
    </fill>
    <fill>
      <patternFill patternType="solid">
        <fgColor theme="4"/>
        <bgColor indexed="64"/>
      </patternFill>
    </fill>
    <fill>
      <patternFill patternType="solid">
        <fgColor rgb="FFFFC000"/>
        <bgColor indexed="64"/>
      </patternFill>
    </fill>
  </fills>
  <borders count="13">
    <border>
      <left/>
      <right/>
      <top/>
      <bottom/>
      <diagonal/>
    </border>
    <border diagonalUp="1" diagonalDown="1">
      <left style="thin">
        <color auto="1"/>
      </left>
      <right style="thin">
        <color auto="1"/>
      </right>
      <top style="thin">
        <color auto="1"/>
      </top>
      <bottom style="thin">
        <color auto="1"/>
      </bottom>
      <diagonal style="thin">
        <color auto="1"/>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diagonalUp="1" diagonalDown="1">
      <left/>
      <right/>
      <top style="thin">
        <color auto="1"/>
      </top>
      <bottom/>
      <diagonal style="thin">
        <color auto="1"/>
      </diagonal>
    </border>
  </borders>
  <cellStyleXfs count="2">
    <xf numFmtId="0" fontId="0" fillId="0" borderId="0"/>
    <xf numFmtId="0" fontId="11" fillId="0" borderId="0" applyNumberFormat="0" applyFill="0" applyBorder="0" applyAlignment="0" applyProtection="0"/>
  </cellStyleXfs>
  <cellXfs count="98">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4" xfId="0" applyFont="1" applyFill="1" applyBorder="1"/>
    <xf numFmtId="0" fontId="0" fillId="3" borderId="2" xfId="0" applyFill="1" applyBorder="1"/>
    <xf numFmtId="0" fontId="0" fillId="3" borderId="9" xfId="0" applyFill="1" applyBorder="1"/>
    <xf numFmtId="0" fontId="0" fillId="4" borderId="0" xfId="0" applyFill="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4" borderId="2" xfId="0" applyFill="1" applyBorder="1"/>
    <xf numFmtId="0" fontId="6" fillId="0" borderId="0" xfId="0" applyFont="1" applyAlignment="1">
      <alignment horizontal="left" vertical="center" wrapText="1"/>
    </xf>
    <xf numFmtId="0" fontId="8" fillId="0" borderId="0" xfId="0" applyFont="1" applyAlignment="1">
      <alignment horizontal="left" vertical="center"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0" xfId="0" applyAlignment="1">
      <alignment wrapText="1"/>
    </xf>
    <xf numFmtId="0" fontId="0" fillId="6" borderId="2" xfId="0" applyFill="1" applyBorder="1"/>
    <xf numFmtId="0" fontId="0" fillId="0" borderId="0" xfId="0" applyAlignment="1">
      <alignment horizontal="left" vertical="center"/>
    </xf>
    <xf numFmtId="0" fontId="0" fillId="0" borderId="1" xfId="0" applyBorder="1"/>
    <xf numFmtId="0" fontId="0" fillId="4" borderId="2" xfId="0" applyFill="1" applyBorder="1" applyAlignment="1">
      <alignment horizontal="left" vertical="center"/>
    </xf>
    <xf numFmtId="0" fontId="1" fillId="0" borderId="3" xfId="0" applyFont="1" applyBorder="1"/>
    <xf numFmtId="0" fontId="6" fillId="0" borderId="0" xfId="0" applyFont="1"/>
    <xf numFmtId="0" fontId="0" fillId="4" borderId="2" xfId="0" quotePrefix="1" applyFill="1" applyBorder="1" applyAlignment="1">
      <alignment horizontal="left" vertical="center" wrapText="1"/>
    </xf>
    <xf numFmtId="0" fontId="5" fillId="0" borderId="0" xfId="0" applyFont="1" applyAlignment="1">
      <alignment horizontal="center" vertical="center"/>
    </xf>
    <xf numFmtId="0" fontId="0" fillId="0" borderId="2" xfId="0" quotePrefix="1" applyBorder="1"/>
    <xf numFmtId="0" fontId="0" fillId="0" borderId="2" xfId="0" applyBorder="1" applyAlignment="1">
      <alignment vertical="center"/>
    </xf>
    <xf numFmtId="0" fontId="0" fillId="0" borderId="2" xfId="0" applyBorder="1" applyAlignment="1">
      <alignment vertical="center" wrapText="1"/>
    </xf>
    <xf numFmtId="0" fontId="0" fillId="0" borderId="0" xfId="0" applyAlignment="1">
      <alignment horizontal="center"/>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6" fillId="0" borderId="3" xfId="0" applyFont="1" applyBorder="1" applyAlignment="1">
      <alignment horizontal="center"/>
    </xf>
    <xf numFmtId="0" fontId="6" fillId="0" borderId="5" xfId="0" applyFont="1"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3" borderId="7" xfId="0" applyFill="1" applyBorder="1" applyAlignment="1">
      <alignment horizontal="center" vertical="center"/>
    </xf>
    <xf numFmtId="0" fontId="0" fillId="3" borderId="10" xfId="0" applyFill="1" applyBorder="1" applyAlignment="1">
      <alignment horizontal="center" vertical="center"/>
    </xf>
    <xf numFmtId="0" fontId="11" fillId="0" borderId="0" xfId="1"/>
    <xf numFmtId="0" fontId="5" fillId="0" borderId="0" xfId="0" applyFont="1" applyAlignment="1">
      <alignment horizontal="center" vertical="center"/>
    </xf>
    <xf numFmtId="0" fontId="0" fillId="4" borderId="2" xfId="0" applyFill="1" applyBorder="1" applyAlignment="1">
      <alignment horizontal="center"/>
    </xf>
    <xf numFmtId="0" fontId="6" fillId="0" borderId="2" xfId="0" applyFont="1" applyBorder="1" applyAlignment="1">
      <alignment horizontal="center"/>
    </xf>
    <xf numFmtId="0" fontId="6" fillId="0" borderId="7" xfId="0" applyFont="1" applyBorder="1" applyAlignment="1">
      <alignment horizontal="center"/>
    </xf>
    <xf numFmtId="0" fontId="6" fillId="0" borderId="11" xfId="0" applyFont="1" applyBorder="1" applyAlignment="1">
      <alignment horizontal="center"/>
    </xf>
    <xf numFmtId="0" fontId="6" fillId="0" borderId="6" xfId="0" applyFont="1" applyBorder="1" applyAlignment="1">
      <alignment horizontal="center"/>
    </xf>
    <xf numFmtId="0" fontId="0" fillId="4" borderId="7" xfId="0" applyFill="1" applyBorder="1" applyAlignment="1">
      <alignment horizontal="center"/>
    </xf>
    <xf numFmtId="0" fontId="0" fillId="4" borderId="11" xfId="0" applyFill="1" applyBorder="1" applyAlignment="1">
      <alignment horizontal="center"/>
    </xf>
    <xf numFmtId="0" fontId="0" fillId="4" borderId="6" xfId="0" applyFill="1" applyBorder="1" applyAlignment="1">
      <alignment horizontal="center"/>
    </xf>
    <xf numFmtId="0" fontId="0" fillId="0" borderId="0" xfId="0" applyAlignment="1">
      <alignment horizontal="center"/>
    </xf>
    <xf numFmtId="0" fontId="10" fillId="0" borderId="0" xfId="0" applyFont="1" applyAlignment="1">
      <alignment horizontal="center" vertical="center"/>
    </xf>
    <xf numFmtId="0" fontId="0" fillId="0" borderId="2" xfId="0" applyBorder="1" applyAlignment="1">
      <alignment horizontal="left" vertical="center" wrapText="1"/>
    </xf>
    <xf numFmtId="0" fontId="0" fillId="0" borderId="0" xfId="0" applyAlignment="1">
      <alignment horizontal="left"/>
    </xf>
    <xf numFmtId="0" fontId="0" fillId="0" borderId="0" xfId="0" applyFill="1" applyBorder="1"/>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11" xfId="0" applyFont="1" applyBorder="1" applyAlignment="1">
      <alignment horizontal="center" vertical="center"/>
    </xf>
    <xf numFmtId="0" fontId="0" fillId="0" borderId="2" xfId="0" applyFill="1" applyBorder="1" applyAlignment="1">
      <alignment horizontal="right" vertical="center"/>
    </xf>
    <xf numFmtId="0" fontId="0" fillId="0" borderId="2" xfId="0" applyBorder="1" applyAlignment="1">
      <alignment horizontal="right" vertical="center"/>
    </xf>
    <xf numFmtId="0" fontId="0" fillId="0" borderId="2" xfId="0" applyBorder="1" applyAlignment="1">
      <alignment horizontal="center" vertical="center"/>
    </xf>
    <xf numFmtId="0" fontId="0" fillId="3" borderId="2" xfId="0" applyFill="1"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left"/>
    </xf>
    <xf numFmtId="0" fontId="0" fillId="0" borderId="2" xfId="0" applyBorder="1" applyAlignment="1">
      <alignment horizontal="right"/>
    </xf>
    <xf numFmtId="0" fontId="0" fillId="0" borderId="0" xfId="0" applyAlignment="1">
      <alignment horizontal="center" vertical="center"/>
    </xf>
    <xf numFmtId="0" fontId="0" fillId="0" borderId="2" xfId="0" applyNumberFormat="1" applyBorder="1" applyAlignment="1">
      <alignment horizontal="right" vertical="center" wrapText="1"/>
    </xf>
    <xf numFmtId="170" fontId="0" fillId="0" borderId="7" xfId="0" applyNumberFormat="1" applyBorder="1" applyAlignment="1">
      <alignment vertical="center" wrapText="1"/>
    </xf>
    <xf numFmtId="0" fontId="0" fillId="0" borderId="0" xfId="0" applyAlignment="1">
      <alignment horizontal="center" vertical="center"/>
    </xf>
    <xf numFmtId="0" fontId="12" fillId="0" borderId="0" xfId="0" applyFont="1" applyFill="1" applyBorder="1" applyAlignment="1">
      <alignment vertical="center" wrapText="1"/>
    </xf>
    <xf numFmtId="0" fontId="0" fillId="0" borderId="9" xfId="0" applyBorder="1" applyAlignment="1">
      <alignment horizontal="left" vertical="center"/>
    </xf>
    <xf numFmtId="0" fontId="0" fillId="0" borderId="2" xfId="0" applyFont="1" applyBorder="1" applyAlignment="1">
      <alignment horizontal="left" vertical="center"/>
    </xf>
    <xf numFmtId="0" fontId="13" fillId="0" borderId="2" xfId="0" applyFont="1" applyFill="1" applyBorder="1" applyAlignment="1">
      <alignment horizontal="left" vertical="center" wrapText="1"/>
    </xf>
    <xf numFmtId="0" fontId="6" fillId="0" borderId="2" xfId="0" applyFont="1" applyFill="1" applyBorder="1" applyAlignment="1">
      <alignment horizontal="center" vertical="center"/>
    </xf>
    <xf numFmtId="0" fontId="0" fillId="0" borderId="12" xfId="0" applyBorder="1"/>
    <xf numFmtId="0" fontId="0" fillId="0" borderId="9" xfId="0" applyFill="1" applyBorder="1" applyAlignment="1">
      <alignment horizontal="center" vertical="center"/>
    </xf>
    <xf numFmtId="0" fontId="0" fillId="0" borderId="9" xfId="0" applyBorder="1" applyAlignment="1">
      <alignment horizontal="center"/>
    </xf>
    <xf numFmtId="0" fontId="0" fillId="0" borderId="4" xfId="0" applyBorder="1" applyAlignment="1">
      <alignment horizontal="right" vertical="center"/>
    </xf>
    <xf numFmtId="0" fontId="0" fillId="3" borderId="4" xfId="0" applyFill="1" applyBorder="1" applyAlignment="1">
      <alignment horizontal="left" vertical="center"/>
    </xf>
    <xf numFmtId="0" fontId="7" fillId="5" borderId="0" xfId="0" applyFont="1" applyFill="1" applyAlignment="1">
      <alignment horizontal="left" vertical="center"/>
    </xf>
  </cellXfs>
  <cellStyles count="2">
    <cellStyle name="Hyperlink" xfId="1" builtinId="8"/>
    <cellStyle name="Normal" xfId="0" builtinId="0"/>
  </cellStyles>
  <dxfs count="113">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auto="1"/>
        </patternFill>
      </fill>
      <border outline="0">
        <left style="thin">
          <color indexed="64"/>
        </left>
        <right/>
        <top style="thin">
          <color indexed="64"/>
        </top>
        <bottom style="thin">
          <color indexed="64"/>
        </bottom>
      </border>
    </dxf>
    <dxf>
      <numFmt numFmtId="0" formatCode="General"/>
      <fill>
        <patternFill patternType="none">
          <fgColor indexed="64"/>
          <bgColor auto="1"/>
        </patternFill>
      </fill>
      <border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outline="0">
        <left style="thin">
          <color indexed="64"/>
        </left>
        <right style="thin">
          <color indexed="64"/>
        </right>
        <top style="thin">
          <color indexed="64"/>
        </top>
        <bottom style="thin">
          <color indexed="64"/>
        </bottom>
      </border>
    </dxf>
    <dxf>
      <fill>
        <patternFill patternType="none">
          <fgColor indexed="64"/>
          <bgColor auto="1"/>
        </patternFill>
      </fill>
      <border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outline="0">
        <left style="thin">
          <color indexed="64"/>
        </left>
        <right style="thin">
          <color indexed="64"/>
        </right>
        <top style="thin">
          <color indexed="64"/>
        </top>
        <bottom style="thin">
          <color indexed="64"/>
        </bottom>
      </border>
    </dxf>
    <dxf>
      <fill>
        <patternFill patternType="none">
          <fgColor indexed="64"/>
          <bgColor auto="1"/>
        </patternFill>
      </fill>
      <border outline="0">
        <left style="thin">
          <color indexed="64"/>
        </left>
        <right style="thin">
          <color indexed="64"/>
        </right>
        <top style="thin">
          <color indexed="64"/>
        </top>
        <bottom style="thin">
          <color indexed="64"/>
        </bottom>
      </border>
    </dxf>
    <dxf>
      <fill>
        <patternFill patternType="none">
          <fgColor indexed="64"/>
          <bgColor auto="1"/>
        </patternFill>
      </fill>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microsoft.com/office/2023/09/relationships/Python" Target="pytho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3" c="11">
    <v>0</v>
    <v t="s">Primary Mission</v>
    <v t="s">Secondary Mission</v>
    <v t="s">Tertiary Mission</v>
    <v t="s">Mission #4</v>
    <v t="s">Mission #5</v>
    <v t="s">Mission #6</v>
    <v t="s">Mission #7</v>
    <v t="s">Mission #8</v>
    <v t="s">Mission #9</v>
    <v t="s">Mission #10</v>
    <v>0</v>
    <v t="s"/>
    <v t="s"/>
    <v t="s"/>
    <v t="s"/>
    <v t="s"/>
    <v t="s"/>
    <v t="s"/>
    <v t="s"/>
    <v t="s"/>
    <v t="s"/>
    <v t="s">Payload</v>
    <v>15000</v>
    <v>6000</v>
    <v>10000</v>
    <v t="r">0</v>
    <v t="r">0</v>
    <v t="r">0</v>
    <v t="r">0</v>
    <v t="r">0</v>
    <v t="r">0</v>
    <v t="r">0</v>
    <v t="s" xml:space="preserve">What kind of mission? </v>
    <v t="s">LEO (ISS mission mostly)</v>
    <v t="s">GEO/GTO</v>
    <v t="s">MEO</v>
    <v t="r">0</v>
    <v t="r">0</v>
    <v t="r">0</v>
    <v t="r">0</v>
    <v t="r">0</v>
    <v t="r">0</v>
    <v t="r">0</v>
    <v t="s" xml:space="preserve">What kind of orbit? </v>
    <v t="s">Circular</v>
    <v t="s">Circular</v>
    <v t="s">Eliptical</v>
    <v t="r">0</v>
    <v t="r">0</v>
    <v t="r">0</v>
    <v t="r">0</v>
    <v t="r">0</v>
    <v t="r">0</v>
    <v t="r">0</v>
    <v t="s">Expected (periapsis) radius</v>
    <v>6771000</v>
    <v>42164000</v>
    <v>28123388</v>
    <v t="r">0</v>
    <v t="r">0</v>
    <v t="r">0</v>
    <v t="r">0</v>
    <v t="r">0</v>
    <v t="r">0</v>
    <v t="r">0</v>
    <v t="s">Expected semi-major axis</v>
    <v>5000000</v>
    <v>28123388</v>
    <v>18758299.796</v>
    <v t="r">0</v>
    <v t="r">0</v>
    <v t="r">0</v>
    <v t="r">0</v>
    <v t="r">0</v>
    <v t="r">0</v>
    <v t="r">0</v>
    <v t="s">...</v>
    <v t="s">...</v>
    <v t="s">...</v>
    <v t="s">...</v>
    <v t="s">...</v>
    <v t="s">...</v>
    <v t="s">...</v>
    <v t="s">...</v>
    <v t="s">...</v>
    <v t="s">...</v>
    <v t="s">...</v>
    <v t="s">Expected gimbal angle</v>
    <v>4</v>
    <v>4</v>
    <v>4</v>
    <v t="r">0</v>
    <v t="r">0</v>
    <v t="r">0</v>
    <v t="r">0</v>
    <v t="r">0</v>
    <v t="r">0</v>
    <v t="r">0</v>
    <v t="s">Expected mission orbit inclination</v>
    <v>0</v>
    <v>60</v>
    <v>0</v>
    <v t="r">0</v>
    <v t="r">0</v>
    <v t="r">0</v>
    <v t="r">0</v>
    <v t="r">0</v>
    <v t="r">0</v>
    <v t="r">0</v>
    <v t="s">Expected primary launch site latitude</v>
    <v>7.6466430000000001</v>
    <v>7.6466430000000001</v>
    <v>7.6466430000000001</v>
    <v t="r">0</v>
    <v t="r">0</v>
    <v t="r">0</v>
    <v t="r">0</v>
    <v t="r">0</v>
    <v t="r">0</v>
    <v t="r">0</v>
    <v t="s">Expected secondary launch site latitude</v>
    <v>28.562106</v>
    <v>28.562106</v>
    <v>28.562106</v>
    <v t="r">0</v>
    <v t="r">0</v>
    <v t="r">0</v>
    <v t="r">0</v>
    <v t="r">0</v>
    <v t="r">0</v>
    <v t="r">0</v>
    <v t="s">Total delta-v needed</v>
    <v>9611.6724427265253</v>
    <v>18971.879786595753</v>
    <v>12962.920017163224</v>
    <v t="s">Well, that can't happen. Whoops....</v>
    <v t="s">Well, that can't happen. Whoops....</v>
    <v t="s">Well, that can't happen. Whoops....</v>
    <v t="s">Well, that can't happen. Whoops....</v>
    <v t="s">Well, that can't happen. Whoops....</v>
    <v t="s">Well, that can't happen. Whoops....</v>
    <v t="s">Well, that can't happen. Whoops....</v>
  </a>
  <a r="12" c="12">
    <v t="s"/>
    <v t="s">Stage</v>
    <v t="s">Final mass</v>
    <v t="s">In vacuum?</v>
    <v t="s">Fuel type?</v>
    <v t="s">Fuel</v>
    <v t="s">...</v>
    <v t="s">Stage delta-v</v>
    <v t="s">Burn time</v>
    <v t="s">Thrust</v>
    <v t="s">Total impulse</v>
    <v t="s">Total delta-v</v>
    <v>0</v>
    <v t="s">Payload</v>
    <v>9654.8938460562986</v>
    <v t="r">0</v>
    <v t="r">0</v>
    <v t="r">0</v>
    <v t="s">...</v>
    <v t="r">5</v>
    <v t="r">5</v>
    <v t="r">5</v>
    <v t="r">5</v>
    <v t="r">5</v>
    <v>1</v>
    <v>1</v>
    <v>9654.8938460562986</v>
    <v t="s">NO</v>
    <v t="s">Solid</v>
    <v t="s">HTPB (LAPAN)</v>
    <v t="s">...</v>
    <v>4776.7327377850916</v>
    <v>30</v>
    <v>6895026.7992330771</v>
    <v>206850803.97699231</v>
    <v>4776.7327377850916</v>
    <v>2</v>
    <v>2</v>
    <v>96548.938460563018</v>
    <v t="s">NO</v>
    <v t="s">Solid</v>
    <v t="s">HTPB (LAPAN)</v>
    <v t="s">...</v>
    <v>4776.7327377850916</v>
    <v>60</v>
    <v>34475133.996165402</v>
    <v>2068508039.7699242</v>
    <v>9553.4654755701831</v>
    <v>3</v>
    <v>3</v>
    <v>965489.38460563053</v>
    <v t="s">YES</v>
    <v t="s">Liquid</v>
    <v t="s">Methalox (LOX/CH4)</v>
    <v t="s">...</v>
    <v>7979.2999143768429</v>
    <v>120</v>
    <v>287945180.15182835</v>
    <v>34553421618.219398</v>
    <v>17532.765389947024</v>
    <v>4</v>
    <v>4</v>
    <v>9654893.8460563067</v>
    <v t="r">0</v>
    <v t="r">0</v>
    <v t="r">0</v>
    <v t="s">...</v>
    <v t="r">5</v>
    <v t="r">5</v>
    <v t="r">5</v>
    <v t="r">5</v>
    <v t="r">5</v>
    <v t="s">...</v>
    <v t="s">...</v>
    <v t="s">...</v>
    <v t="s">...</v>
    <v t="s">...</v>
    <v t="s">...</v>
    <v t="s">...</v>
    <v t="s">...</v>
    <v t="s">...</v>
    <v t="s">...</v>
    <v t="s">...</v>
    <v t="s">...</v>
    <v>6</v>
    <v>6</v>
    <v>965489384.60563123</v>
    <v t="r">0</v>
    <v t="r">0</v>
    <v t="r">0</v>
    <v t="s">...</v>
    <v t="r">5</v>
    <v t="r">5</v>
    <v t="r">5</v>
    <v t="r">5</v>
    <v t="r">5</v>
    <v>7</v>
    <v>7</v>
    <v>9654893846.0563145</v>
    <v t="r">0</v>
    <v t="r">0</v>
    <v t="r">0</v>
    <v t="s">...</v>
    <v t="r">5</v>
    <v t="r">5</v>
    <v t="r">5</v>
    <v t="r">5</v>
    <v t="r">5</v>
    <v>8</v>
    <v>8</v>
    <v>96548938460.563171</v>
    <v t="r">0</v>
    <v t="r">0</v>
    <v t="r">0</v>
    <v t="s">...</v>
    <v t="r">5</v>
    <v t="r">5</v>
    <v t="r">5</v>
    <v t="r">5</v>
    <v t="r">5</v>
    <v>9</v>
    <v>9</v>
    <v>965489384605.63196</v>
    <v t="r">0</v>
    <v t="r">0</v>
    <v t="r">0</v>
    <v t="s">...</v>
    <v t="r">5</v>
    <v t="r">5</v>
    <v t="r">5</v>
    <v t="r">5</v>
    <v t="r">5</v>
    <v>10</v>
    <v>10</v>
    <v>9654893846056.3223</v>
    <v t="r">0</v>
    <v t="r">0</v>
    <v t="r">0</v>
    <v t="s">...</v>
    <v t="r">5</v>
    <v t="r">5</v>
    <v t="r">5</v>
    <v t="r">5</v>
    <v t="r">5</v>
  </a>
</arrayData>
</file>

<file path=xl/richData/rdrichvalue.xml><?xml version="1.0" encoding="utf-8"?>
<rvData xmlns="http://schemas.microsoft.com/office/spreadsheetml/2017/richdata" count="9">
  <rv s="0">
    <fb>0</fb>
    <v>2</v>
  </rv>
  <rv s="1">
    <v>0</v>
  </rv>
  <rv s="2">
    <v>DataFrame</v>
    <v>1</v>
    <v>1</v>
  </rv>
  <rv s="3">
    <v>&lt;class 'pandas.core.frame.DataFrame'&gt;</v>
    <v>DataFrame</v>
    <v>0                                                        Primary Mission  \
0                                                                          
Payload                                                            15000   
What kind of mission?   ...</v>
    <v>2</v>
    <v>3</v>
  </rv>
  <rv s="4">
    <v>2cfac00fc58249caa602d0ed80ed49b2</v>
    <v>[Errno 2] No such file or directory: '/mnt/file_upload//Python Dependencies//init_sizing.py'</v>
    <v>FileNotFoundError</v>
    <v>18</v>
    <v>1</v>
  </rv>
  <rv s="0">
    <fb>0</fb>
    <v>6</v>
  </rv>
  <rv s="1">
    <v>1</v>
  </rv>
  <rv s="2">
    <v>DataFrame</v>
    <v>5</v>
    <v>6</v>
  </rv>
  <rv s="3">
    <v>&lt;class 'pandas.core.frame.DataFrame'&gt;</v>
    <v>DataFrame</v>
    <v xml:space="preserve">      Stage    Final mass In vacuum? Fuel type?                Fuel  \
0   Payload  9.654894e+03       None       None                None   
1         1  9.654894e+03         NO      Solid        HTPB (LAPAN)   
2         2  9.654894e+04         NO   ...</v>
    <v>7</v>
    <v>3</v>
  </rv>
</rvData>
</file>

<file path=xl/richData/rdrichvaluestructure.xml><?xml version="1.0" encoding="utf-8"?>
<rvStructures xmlns="http://schemas.microsoft.com/office/spreadsheetml/2017/richdata" count="5">
  <s t="_formattednumber">
    <k n="_Format" t="spb"/>
  </s>
  <s t="_array">
    <k n="array" t="a"/>
  </s>
  <s t="_entity">
    <k n="_DisplayString" t="s"/>
    <k n="_ViewInfo" t="spb"/>
    <k n="arrayPreview" t="r"/>
  </s>
  <s t="_python">
    <k n="Python_type" t="s"/>
    <k n="Python_typeName" t="s"/>
    <k n="Python_str" t="s"/>
    <k n="preview" t="r"/>
    <k n="_Provider" t="spb"/>
  </s>
  <s t="_error">
    <k n="correlationId" t="s"/>
    <k n="errorMessage" t="s"/>
    <k n="errorName" t="s"/>
    <k n="errorType" t="i"/>
    <k n="subType" t="i"/>
  </s>
</rvStructures>
</file>

<file path=xl/richData/rdsupportingpropertybag.xml><?xml version="1.0" encoding="utf-8"?>
<supportingPropertyBags xmlns="http://schemas.microsoft.com/office/spreadsheetml/2017/richdata2">
  <spbData count="7">
    <spb s="0">
      <v>11</v>
      <v>10</v>
      <v>DataFrame</v>
      <v>arrayPreview</v>
      <v>1</v>
    </spb>
    <spb s="1">
      <v>0</v>
    </spb>
    <spb s="2">
      <v>1</v>
    </spb>
    <spb s="3">
      <v>https://www.anaconda.com/excel</v>
      <v>https://res.cdn.office.net/officepysvc/prod-service/anacondalogo.png</v>
      <v>Python provided by Anaconda</v>
    </spb>
    <spb s="0">
      <v>11</v>
      <v>14</v>
      <v>DataFrame</v>
      <v>arrayPreview</v>
      <v>1</v>
    </spb>
    <spb s="1">
      <v>4</v>
    </spb>
    <spb s="2">
      <v>2</v>
    </spb>
  </spbData>
</supportingPropertyBags>
</file>

<file path=xl/richData/rdsupportingpropertybagstructure.xml><?xml version="1.0" encoding="utf-8"?>
<spbStructures xmlns="http://schemas.microsoft.com/office/spreadsheetml/2017/richdata2" count="4">
  <s>
    <k n="drw" t="i"/>
    <k n="dcol" t="i"/>
    <k n="name" t="s"/>
    <k n="array" t="s"/>
    <k n="headers" t="b"/>
  </s>
  <s>
    <k n="ArrayCardInfo" t="spb"/>
  </s>
  <s>
    <k n="_Self" t="i"/>
  </s>
  <s>
    <k n="link" t="s"/>
    <k n="logo" t="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0;-0;"None"</rpv>
    </rSty>
    <rSty dxfid="0">
      <rpv i="0">0;-0;"nan"</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AC8A23-A629-49DA-9612-16991BC7E0CF}" name="TheDropdownMenuTable_DataInput" displayName="TheDropdownMenuTable_DataInput" ref="B44:E51" totalsRowShown="0" headerRowBorderDxfId="70" tableBorderDxfId="69" totalsRowBorderDxfId="68">
  <autoFilter ref="B44:E51" xr:uid="{02AC8A23-A629-49DA-9612-16991BC7E0CF}"/>
  <tableColumns count="4">
    <tableColumn id="1" xr3:uid="{37C26436-216C-4530-992E-9414322F8925}" name="Expected Rocket Size (NASA)" dataDxfId="67"/>
    <tableColumn id="2" xr3:uid="{F7CE6833-F045-4505-BBB1-32CEAA513166}" name="What kind of mission? " dataDxfId="66"/>
    <tableColumn id="4" xr3:uid="{2173F227-01D3-4B33-A0D6-EBF6EFF1FD1E}" name="Single-stage delta-v for mission" dataDxfId="65">
      <calculatedColumnFormula>((9.81*6378000^3)/(6378000+400000))^0.5</calculatedColumnFormula>
    </tableColumn>
    <tableColumn id="3" xr3:uid="{1648E833-C30F-405E-9AAA-C8448639848B}" name="What kind of orbit? " dataDxfId="6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3BA3E3-292E-4F9B-8FC4-4172FB53A2F9}" name="DataInputTable" displayName="DataInputTable" ref="B13:L24" totalsRowShown="0" headerRowDxfId="63" headerRowBorderDxfId="62" tableBorderDxfId="61" totalsRowBorderDxfId="60">
  <autoFilter ref="B13:L24" xr:uid="{973BA3E3-292E-4F9B-8FC4-4172FB53A2F9}"/>
  <tableColumns count="11">
    <tableColumn id="1" xr3:uid="{ABF0C372-0E46-4662-A2C0-2A30F2555CDC}" name="Attribute" dataDxfId="59"/>
    <tableColumn id="2" xr3:uid="{8A769E52-51EA-4931-B79B-BA85D1C4A8EC}" name="Primary Mission" dataDxfId="58"/>
    <tableColumn id="3" xr3:uid="{5C515417-3844-49FD-B0B2-8189E42BCC26}" name="Secondary Mission" dataDxfId="57"/>
    <tableColumn id="4" xr3:uid="{7F8A43EC-A596-4550-A14C-5415BCDA1B52}" name="Tertiary Mission" dataDxfId="56">
      <calculatedColumnFormula>IF(
    ISBLANK(E10),
    "Oh nyo, pwease insert orbit type ÓwÒ",
            IF(
            E10 = "Circular",
            INDEX(
                  TheDropdownMenuTable_DataInput[Single-stage delta-v for mission],
                  MATCH(
                        E9,
                        TheDropdownMenuTable_DataInput[What kind of mission? ],
                        0
                        )
                   ),
             INDEX(
                   DeltaVCalculator_InitialSizing[],
                   MATCH(
                         E9,
                         DeltaVCalculator_InitialSizing[V: Orbit? | -&gt; Orbit type?],
                         0
                   ),
                   MATCH(
                         E10,
                         DeltaVCalculator_InitialSizing[#Headers],
                         0
                         )
                    )
               )
)</calculatedColumnFormula>
    </tableColumn>
    <tableColumn id="5" xr3:uid="{59EA6F45-44F7-407D-836B-D7315DFC7AB9}" name="Mission #4" dataDxfId="55">
      <calculatedColumnFormula>IF(
    ISBLANK(F9),
    "Oh nyo, pwease insert orbit type ÓwÒ",
            IF(
            F9 = "Circular",
            INDEX(
                  TheDropdownMenuTable_DataInput[Single-stage delta-v for mission],
                  MATCH(
                        F8,
                        TheDropdownMenuTable_DataInput[What kind of mission? ],
                        0
                        )
                   ),
             INDEX(
                   DeltaVCalculator_InitialSizing[],
                   MATCH(
                         F8,
                         DeltaVCalculator_InitialSizing[V: Orbit? | -&gt; Orbit type?],
                         0
                   ),
                   MATCH(
                         F9,
                         DeltaVCalculator_InitialSizing[#Headers],
                         0
                         )
                    )
               )
)</calculatedColumnFormula>
    </tableColumn>
    <tableColumn id="6" xr3:uid="{65777FC9-5529-46FE-A286-35373E1FB94F}" name="Mission #5" dataDxfId="54">
      <calculatedColumnFormula>IF(
    ISBLANK(G10),
    "Oh nyo, pwease insert orbit type ÓwÒ",
    IFERROR(
        IF(
            G10 = "Circular",
            VLOOKUP(G10, TheDropdownMenuTable_DataInput[], 3),
            HLOOKUP(
                G10,
                DeltaVCalculator_InitialSizing[#Headers],
                MATCH(G9, DeltaVCalculator_InitialSizing[V: Orbit? | -&gt; Orbit type?], 0),
                FALSE
            )
        ),
        "Calculate that for yourself :3"
    )
)</calculatedColumnFormula>
    </tableColumn>
    <tableColumn id="7" xr3:uid="{3A5B2374-D007-4C77-BB09-29980BD9AB9B}" name="Mission #6" dataDxfId="53"/>
    <tableColumn id="8" xr3:uid="{2FC93AA1-806F-4C30-82A3-8A6E6F18536E}" name="Mission #7" dataDxfId="52">
      <calculatedColumnFormula>IF(
    ISBLANK(I10),
    "Oh nyo, pwease insert orbit type ÓwÒ",
    IFERROR(
        IF(
            I10 = "Circular",
            VLOOKUP(I10, TheDropdownMenuTable_DataInput[], 3),
            HLOOKUP(
                I10,
                DeltaVCalculator_InitialSizing[#Headers],
                MATCH(I9, DeltaVCalculator_InitialSizing[V: Orbit? | -&gt; Orbit type?], 0),
                FALSE
            )
        ),
        "Calculate that for yourself :3"
    )
)</calculatedColumnFormula>
    </tableColumn>
    <tableColumn id="9" xr3:uid="{388BEDD1-3800-465E-8D1C-7B79AA268D8D}" name="Mission #8" dataDxfId="51">
      <calculatedColumnFormula>IF(
    ISBLANK(J10),
    "Oh nyo, pwease insert orbit type ÓwÒ",
    IFERROR(
        IF(
            J10 = "Circular",
            VLOOKUP(J10, TheDropdownMenuTable_DataInput[], 3),
            HLOOKUP(
                J10,
                DeltaVCalculator_InitialSizing[#Headers],
                MATCH(J9, DeltaVCalculator_InitialSizing[V: Orbit? | -&gt; Orbit type?], 0),
                FALSE
            )
        ),
        "Calculate that for yourself :3"
    )
)</calculatedColumnFormula>
    </tableColumn>
    <tableColumn id="10" xr3:uid="{AE463282-A8F6-4BEA-9979-CB917AC39418}" name="Mission #9" dataDxfId="50">
      <calculatedColumnFormula>IF(
    ISBLANK(K10),
    "Oh nyo, pwease insert orbit type ÓwÒ",
    IFERROR(
        IF(
            K10 = "Circular",
            VLOOKUP(K10, TheDropdownMenuTable_DataInput[], 3),
            HLOOKUP(
                K10,
                DeltaVCalculator_InitialSizing[#Headers],
                MATCH(K9, DeltaVCalculator_InitialSizing[V: Orbit? | -&gt; Orbit type?], 0),
                FALSE
            )
        ),
        "Calculate that for yourself :3"
    )
)</calculatedColumnFormula>
    </tableColumn>
    <tableColumn id="11" xr3:uid="{CD8B480D-C681-479A-916C-0B9C217F96A0}" name="Mission #10" dataDxfId="49">
      <calculatedColumnFormula>IF(
    ISBLANK(L10),
    "Oh nyo, pwease insert orbit type ÓwÒ",
    IFERROR(
        IF(
            L10 = "Circular",
            VLOOKUP(L10, TheDropdownMenuTable_DataInput[], 3),
            HLOOKUP(
                L10,
                DeltaVCalculator_InitialSizing[#Headers],
                MATCH(L9, DeltaVCalculator_InitialSizing[V: Orbit? | -&gt; Orbit type?], 0),
                FALSE
            )
        ),
        "Calculate that for yourself :3"
    )
)</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1E3321-0EF2-4007-9DF9-C3BD57AFB99F}" name="DeltaVCalculator_InitialSizing" displayName="DeltaVCalculator_InitialSizing" ref="B54:F61" totalsRowShown="0" headerRowDxfId="48" dataDxfId="46" headerRowBorderDxfId="47" tableBorderDxfId="45" totalsRowBorderDxfId="44">
  <autoFilter ref="B54:F61" xr:uid="{B21E3321-0EF2-4007-9DF9-C3BD57AFB99F}"/>
  <tableColumns count="5">
    <tableColumn id="1" xr3:uid="{65EC6A74-7A03-4795-9F14-DB1783F29F1A}" name="V: Orbit? | -&gt; Orbit type?" dataDxfId="43"/>
    <tableColumn id="2" xr3:uid="{2B4D7578-F4F9-46AF-A8F9-47865D4A2E63}" name="Circular" dataDxfId="42">
      <calculatedColumnFormula>D45</calculatedColumnFormula>
    </tableColumn>
    <tableColumn id="3" xr3:uid="{311BCEAB-D978-4E5A-A256-C5F3952C6E68}" name="Eliptical" dataDxfId="41">
      <calculatedColumnFormula>((9.81*6378000^2)*((2/(_xlfn.AGGREGATE(5,3,$C$17:$L$17)))-(1/_xlfn.AGGREGATE(5,3,$C$18:$L$18))))^0.5</calculatedColumnFormula>
    </tableColumn>
    <tableColumn id="4" xr3:uid="{AB7A6491-CE84-490E-B0FB-FD5016756293}" name="Parabolic" dataDxfId="40">
      <calculatedColumnFormula>(2*(9.81*6378000^2)/(6378000+400000))^0.5</calculatedColumnFormula>
    </tableColumn>
    <tableColumn id="5" xr3:uid="{81DC2721-E2FD-4C7D-BC37-F30D428E8630}" name="Hyperbolic (assuming a 1 km/s speed)"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99EFFE-4ED4-4BEA-986A-0303615C7CC1}" name="LeInitialSizingTable" displayName="LeInitialSizingTable" ref="A9:N20" totalsRowShown="0" headerRowDxfId="112" dataDxfId="110" headerRowBorderDxfId="111" tableBorderDxfId="109" totalsRowBorderDxfId="108">
  <autoFilter ref="A9:N20" xr:uid="{3F99EFFE-4ED4-4BEA-986A-0303615C7CC1}"/>
  <tableColumns count="14">
    <tableColumn id="1" xr3:uid="{D376856A-4962-4798-BB88-4A0DA8662518}" name="Stage" dataDxfId="107"/>
    <tableColumn id="2" xr3:uid="{F93C9EE3-1BFB-4341-84EA-2A1AD8B0D50D}" name="Final mass" dataDxfId="106"/>
    <tableColumn id="3" xr3:uid="{8913E803-65F3-4F8E-AB66-F6638A22A5B3}" name="In vacuum?" dataDxfId="105"/>
    <tableColumn id="4" xr3:uid="{337A64D6-17B1-475C-A652-6D66D906B4B6}" name="Fuel type?" dataDxfId="104"/>
    <tableColumn id="5" xr3:uid="{8390B592-9AAD-49E4-9CCF-29A77EF82BE1}" name="Fuel" dataDxfId="103"/>
    <tableColumn id="6" xr3:uid="{E8C050E1-AD7D-4BC2-9663-F725C55D036F}" name="Specific impulse" dataDxfId="102">
      <calculatedColumnFormula>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calculatedColumnFormula>
    </tableColumn>
    <tableColumn id="7" xr3:uid="{9383E0D6-DB61-4034-B434-F40101757504}" name="Stage dry mass" dataDxfId="101"/>
    <tableColumn id="8" xr3:uid="{2769C384-836C-44A2-9BDE-B30501571738}" name="Propellant mass" dataDxfId="100">
      <calculatedColumnFormula>(LeInitialSizingTable[[#This Row],[Stage dry mass]]*0.875)/(1-0.875)</calculatedColumnFormula>
    </tableColumn>
    <tableColumn id="9" xr3:uid="{C25A4253-7F52-43B4-AA0F-6A0DB8190EB4}" name="Wet mass" dataDxfId="99">
      <calculatedColumnFormula>LeInitialSizingTable[[#This Row],[Propellant mass]] + LeInitialSizingTable[[#This Row],[Stage dry mass]]</calculatedColumnFormula>
    </tableColumn>
    <tableColumn id="10" xr3:uid="{F280A7DF-D77D-4969-9F58-A44E97EA414C}" name="Stage delta-v" dataDxfId="98">
      <calculatedColumnFormula>9.81*LeInitialSizingTable[[#This Row],[Specific impulse]]*LN(LeInitialSizingTable[[#This Row],[Wet mass]]/(LeInitialSizingTable[[#This Row],[Stage dry mass]]+LeInitialSizingTable[[#This Row],[Final mass]]))</calculatedColumnFormula>
    </tableColumn>
    <tableColumn id="11" xr3:uid="{AD19E824-0495-4F3E-B0F1-D4A9054E38C6}" name="Burn time" dataDxfId="97"/>
    <tableColumn id="14" xr3:uid="{C39CD05B-EBD7-4EB7-8B19-26D0DBE94A99}" name="Thrust" dataDxfId="96">
      <calculatedColumnFormula>9.81*LeInitialSizingTable[[#This Row],[Specific impulse]]*(LeInitialSizingTable[[#This Row],[Propellant mass]]/LeInitialSizingTable[[#This Row],[Burn time]])</calculatedColumnFormula>
    </tableColumn>
    <tableColumn id="15" xr3:uid="{AFFFA182-C9D2-4A9B-8100-4455137B27EF}" name="Total impulse" dataDxfId="95">
      <calculatedColumnFormula>LeInitialSizingTable[[#This Row],[Thrust]]*LeInitialSizingTable[[#This Row],[Burn time]]</calculatedColumnFormula>
    </tableColumn>
    <tableColumn id="16" xr3:uid="{F0E8BA93-AD48-40C6-84C5-0566DD8384A2}" name="Total delta-v" dataDxfId="94">
      <calculatedColumnFormula>LeInitialSizingTable[[#This Row],[Stage delta-v]]</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13518-9C68-4392-873C-8B717204DF70}" name="TheDropdownMenuTable_InitialSizing" displayName="TheDropdownMenuTable_InitialSizing" ref="A40:K50" totalsRowShown="0" headerRowDxfId="93" dataDxfId="91" headerRowBorderDxfId="92" tableBorderDxfId="90" totalsRowBorderDxfId="89">
  <autoFilter ref="A40:K50" xr:uid="{9EF13518-9C68-4392-873C-8B717204DF70}"/>
  <tableColumns count="11">
    <tableColumn id="1" xr3:uid="{B53D82EE-C966-4662-82CD-7B051C591F23}" name="Vacuum?" dataDxfId="88"/>
    <tableColumn id="2" xr3:uid="{1F287FF0-02DA-4864-A0EA-D3475D35BA05}" name="Fuel type?" dataDxfId="87"/>
    <tableColumn id="3" xr3:uid="{2D4CA319-928F-4B2F-8D10-4B07CA0BA891}" name="Fuel (solid)" dataDxfId="86"/>
    <tableColumn id="4" xr3:uid="{3CA1B53C-5BCD-4573-9218-9CB2B1B49E9F}" name="Isp (solid, vacuum)" dataDxfId="85">
      <calculatedColumnFormula>1.5*TheDropdownMenuTable_InitialSizing[[#This Row],[Isp (solid, SL)]]</calculatedColumnFormula>
    </tableColumn>
    <tableColumn id="5" xr3:uid="{C713570A-858E-4AB8-9355-FC886FFD996D}" name="Isp (solid, SL)" dataDxfId="84"/>
    <tableColumn id="6" xr3:uid="{754AEC55-8326-401C-8F4B-7DD5053E3E02}" name="Fuel (liquid)" dataDxfId="83"/>
    <tableColumn id="7" xr3:uid="{08A24A14-D47C-4E1F-BA77-20E938CE17A1}" name="Isp (liquid, vacuum)" dataDxfId="82"/>
    <tableColumn id="8" xr3:uid="{895DD8CC-974E-4FC3-8943-9621F83A88ED}" name="Isp (liquid, SL)" dataDxfId="81"/>
    <tableColumn id="9" xr3:uid="{EC606D3E-C916-4B91-892A-627311011AB6}" name="Fuel (IDFK)" dataDxfId="80"/>
    <tableColumn id="10" xr3:uid="{E093D31E-C83D-4E00-BBD0-012867BD73FF}" name="Isp (IDFK, vacuum)" dataDxfId="79">
      <calculatedColumnFormula>1.5*TheDropdownMenuTable_InitialSizing[[#This Row],[Isp (IDFK, SL)]]</calculatedColumnFormula>
    </tableColumn>
    <tableColumn id="11" xr3:uid="{74C1F2A4-CF73-40BF-B37D-34BC90E86AD4}" name="Isp (IDFK, SL)" dataDxfId="7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E32224-F949-4AFD-BE0A-040D52454BE4}" name="FuelOxRatios" displayName="FuelOxRatios" ref="B53:D67" totalsRowShown="0" headerRowDxfId="77" headerRowBorderDxfId="76" tableBorderDxfId="75" totalsRowBorderDxfId="74">
  <autoFilter ref="B53:D67" xr:uid="{EEE32224-F949-4AFD-BE0A-040D52454BE4}"/>
  <tableColumns count="3">
    <tableColumn id="1" xr3:uid="{E9C4C0A5-3A39-4D44-BB53-8513C87999CC}" name="Fuel type" dataDxfId="73"/>
    <tableColumn id="2" xr3:uid="{833C6958-4779-43DB-9343-962FD86B1817}" name="Proportion, fuel" dataDxfId="72"/>
    <tableColumn id="3" xr3:uid="{C1BD6937-97FF-4570-A063-C51AF695051A}" name="Proportion, oxidiser" dataDxfId="7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F9D88C-D597-4469-BBC5-1E1BE544003E}" name="Table8" displayName="Table8" ref="A5:B10" totalsRowShown="0" headerRowDxfId="38" headerRowBorderDxfId="37" tableBorderDxfId="36" totalsRowBorderDxfId="35">
  <autoFilter ref="A5:B10" xr:uid="{3BF9D88C-D597-4469-BBC5-1E1BE544003E}"/>
  <tableColumns count="2">
    <tableColumn id="1" xr3:uid="{B8022551-44E3-411F-98AB-60C091A54B7C}" name="Things inputted" dataDxfId="34"/>
    <tableColumn id="2" xr3:uid="{236F13BD-BCBD-4AD8-A6EF-30B702D55C56}" name="Input value" dataDxfId="33"/>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B77C25-E91F-4FD3-9A2D-C822291D4541}" name="Table9" displayName="Table9" ref="A12:B22" totalsRowShown="0" headerRowDxfId="32" dataDxfId="30" headerRowBorderDxfId="31" tableBorderDxfId="29" totalsRowBorderDxfId="28">
  <autoFilter ref="A12:B22" xr:uid="{19B77C25-E91F-4FD3-9A2D-C822291D4541}"/>
  <tableColumns count="2">
    <tableColumn id="1" xr3:uid="{C680718E-51CC-4A21-B851-8F1547F3F0D6}" name="Stage" dataDxfId="27"/>
    <tableColumn id="2" xr3:uid="{B9B9F106-7248-4641-8549-AE1550AB9F81}" name="Desired thrust-to-weight ratio" dataDxfId="26"/>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9257BB-A782-4818-94CC-AFB62491CBFD}" name="LogTable" displayName="LogTable" ref="A5:D155" totalsRowShown="0" headerRowDxfId="25" dataDxfId="23" headerRowBorderDxfId="24" tableBorderDxfId="22" totalsRowBorderDxfId="21">
  <autoFilter ref="A5:D155" xr:uid="{CB9257BB-A782-4818-94CC-AFB62491CBFD}"/>
  <tableColumns count="4">
    <tableColumn id="1" xr3:uid="{2A328167-11A1-4BEB-9A4A-A7784AD4ED68}" name="Date and Time" dataDxfId="20"/>
    <tableColumn id="2" xr3:uid="{5B0BF100-708E-454B-80A0-E23284DA6871}" name="Who?*" dataDxfId="19"/>
    <tableColumn id="3" xr3:uid="{83C511E8-E265-411E-92C6-9A5AB4267BB6}" name="Revision" dataDxfId="18"/>
    <tableColumn id="4" xr3:uid="{0FAD250E-977C-4772-837C-DD97F7AB8A1D}" name="Addition" dataDxfId="1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69BB83-84D8-46C0-A587-691AAF9243B4}" name="AuthorTable" displayName="AuthorTable" ref="F7:H29" totalsRowShown="0" headerRowDxfId="16" dataDxfId="14" headerRowBorderDxfId="15" tableBorderDxfId="13" totalsRowBorderDxfId="12">
  <autoFilter ref="F7:H29" xr:uid="{1B69BB83-84D8-46C0-A587-691AAF9243B4}"/>
  <sortState xmlns:xlrd2="http://schemas.microsoft.com/office/spreadsheetml/2017/richdata2" ref="F8:H29">
    <sortCondition ref="F7:F29"/>
  </sortState>
  <tableColumns count="3">
    <tableColumn id="1" xr3:uid="{67C7794C-1BBF-4F6D-905A-6E2F5D7C3549}" name="Abbr." dataDxfId="11"/>
    <tableColumn id="2" xr3:uid="{BCD48711-8DAF-4F81-B9B1-A9AE6C37DFED}" name="Name" dataDxfId="10"/>
    <tableColumn id="3" xr3:uid="{643541DB-6FC1-4211-AADD-E6164D95190E}" name="Work/School" dataDxfId="9"/>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hyperlink" Target="https://ntrs.nasa.gov/citations/19710019929" TargetMode="External"/><Relationship Id="rId1" Type="http://schemas.openxmlformats.org/officeDocument/2006/relationships/hyperlink" Target="http://www.braeunig.us/space/propel.htm"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vmlDrawing" Target="../drawings/vmlDrawing3.v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79AD-A532-4C09-83AC-0D469C38A6A3}">
  <sheetPr codeName="Sheet1"/>
  <dimension ref="B2:C12"/>
  <sheetViews>
    <sheetView topLeftCell="A10" zoomScaleNormal="100" workbookViewId="0">
      <selection activeCell="B11" sqref="B11"/>
    </sheetView>
  </sheetViews>
  <sheetFormatPr defaultRowHeight="14.4" x14ac:dyDescent="0.3"/>
  <cols>
    <col min="2" max="2" width="96.77734375" style="14" bestFit="1" customWidth="1"/>
  </cols>
  <sheetData>
    <row r="2" spans="2:3" ht="42" customHeight="1" x14ac:dyDescent="0.3">
      <c r="B2" s="97" t="s">
        <v>284</v>
      </c>
    </row>
    <row r="4" spans="2:3" ht="43.2" x14ac:dyDescent="0.3">
      <c r="B4" s="13" t="s">
        <v>285</v>
      </c>
    </row>
    <row r="5" spans="2:3" ht="129.6" x14ac:dyDescent="0.3">
      <c r="B5" s="13" t="s">
        <v>215</v>
      </c>
    </row>
    <row r="6" spans="2:3" ht="86.4" x14ac:dyDescent="0.3">
      <c r="B6" s="13" t="s">
        <v>58</v>
      </c>
    </row>
    <row r="7" spans="2:3" x14ac:dyDescent="0.3">
      <c r="B7" s="13" t="s">
        <v>43</v>
      </c>
    </row>
    <row r="8" spans="2:3" ht="72" x14ac:dyDescent="0.3">
      <c r="B8" s="13" t="s">
        <v>286</v>
      </c>
    </row>
    <row r="10" spans="2:3" ht="172.8" x14ac:dyDescent="0.3">
      <c r="B10" s="22" t="s">
        <v>288</v>
      </c>
      <c r="C10" s="32"/>
    </row>
    <row r="11" spans="2:3" ht="158.4" x14ac:dyDescent="0.3">
      <c r="B11" s="22" t="s">
        <v>287</v>
      </c>
    </row>
    <row r="12" spans="2:3" ht="36" x14ac:dyDescent="0.3">
      <c r="B12" s="23"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1B98-6F6F-4F60-9883-7D14D06EDCA5}">
  <sheetPr codeName="Sheet4"/>
  <dimension ref="B2:L63"/>
  <sheetViews>
    <sheetView topLeftCell="A39" zoomScaleNormal="100" workbookViewId="0">
      <selection activeCell="B63" sqref="B63"/>
    </sheetView>
  </sheetViews>
  <sheetFormatPr defaultRowHeight="14.4" x14ac:dyDescent="0.3"/>
  <cols>
    <col min="2" max="5" width="33.6640625" customWidth="1"/>
    <col min="6" max="6" width="35.21875" bestFit="1" customWidth="1"/>
    <col min="7" max="12" width="33.6640625" customWidth="1"/>
  </cols>
  <sheetData>
    <row r="2" spans="2:12" x14ac:dyDescent="0.3">
      <c r="B2" s="59" t="s">
        <v>36</v>
      </c>
      <c r="C2" s="59"/>
    </row>
    <row r="3" spans="2:12" x14ac:dyDescent="0.3">
      <c r="B3" s="59"/>
      <c r="C3" s="59"/>
    </row>
    <row r="4" spans="2:12" x14ac:dyDescent="0.3">
      <c r="B4" t="s">
        <v>99</v>
      </c>
    </row>
    <row r="6" spans="2:12" x14ac:dyDescent="0.3">
      <c r="B6" s="5" t="s">
        <v>82</v>
      </c>
      <c r="C6" s="11" t="s">
        <v>124</v>
      </c>
    </row>
    <row r="7" spans="2:12" x14ac:dyDescent="0.3">
      <c r="B7" s="5" t="s">
        <v>83</v>
      </c>
      <c r="C7" s="11">
        <v>3</v>
      </c>
    </row>
    <row r="8" spans="2:12" x14ac:dyDescent="0.3">
      <c r="B8" s="5" t="s">
        <v>102</v>
      </c>
      <c r="C8" s="11" t="s">
        <v>104</v>
      </c>
    </row>
    <row r="9" spans="2:12" x14ac:dyDescent="0.3">
      <c r="B9" s="5" t="s">
        <v>96</v>
      </c>
      <c r="C9" s="11">
        <v>6</v>
      </c>
    </row>
    <row r="10" spans="2:12" x14ac:dyDescent="0.3">
      <c r="B10" s="5" t="s">
        <v>146</v>
      </c>
      <c r="C10" s="11">
        <v>0.01</v>
      </c>
    </row>
    <row r="13" spans="2:12" x14ac:dyDescent="0.3">
      <c r="B13" s="1" t="s">
        <v>85</v>
      </c>
      <c r="C13" s="2" t="s">
        <v>87</v>
      </c>
      <c r="D13" s="2" t="s">
        <v>84</v>
      </c>
      <c r="E13" s="2" t="s">
        <v>88</v>
      </c>
      <c r="F13" s="2" t="s">
        <v>89</v>
      </c>
      <c r="G13" s="2" t="s">
        <v>90</v>
      </c>
      <c r="H13" s="2" t="s">
        <v>91</v>
      </c>
      <c r="I13" s="2" t="s">
        <v>92</v>
      </c>
      <c r="J13" s="2" t="s">
        <v>93</v>
      </c>
      <c r="K13" s="2" t="s">
        <v>94</v>
      </c>
      <c r="L13" s="3" t="s">
        <v>95</v>
      </c>
    </row>
    <row r="14" spans="2:12" x14ac:dyDescent="0.3">
      <c r="B14" s="42" t="s">
        <v>1</v>
      </c>
      <c r="C14" s="11">
        <v>15000</v>
      </c>
      <c r="D14" s="11">
        <v>6000</v>
      </c>
      <c r="E14" s="33">
        <v>10000</v>
      </c>
      <c r="F14" s="33"/>
      <c r="G14" s="33"/>
      <c r="H14" s="33"/>
      <c r="I14" s="33"/>
      <c r="J14" s="33"/>
      <c r="K14" s="33"/>
      <c r="L14" s="33"/>
    </row>
    <row r="15" spans="2:12" x14ac:dyDescent="0.3">
      <c r="B15" s="42" t="s">
        <v>86</v>
      </c>
      <c r="C15" s="11" t="s">
        <v>132</v>
      </c>
      <c r="D15" s="11" t="s">
        <v>144</v>
      </c>
      <c r="E15" s="33" t="s">
        <v>107</v>
      </c>
      <c r="F15" s="33"/>
      <c r="G15" s="33"/>
      <c r="H15" s="33"/>
      <c r="I15" s="33"/>
      <c r="J15" s="33"/>
      <c r="K15" s="33"/>
      <c r="L15" s="33"/>
    </row>
    <row r="16" spans="2:12" x14ac:dyDescent="0.3">
      <c r="B16" s="42" t="s">
        <v>97</v>
      </c>
      <c r="C16" s="11" t="s">
        <v>110</v>
      </c>
      <c r="D16" s="11" t="s">
        <v>110</v>
      </c>
      <c r="E16" s="33" t="s">
        <v>111</v>
      </c>
      <c r="F16" s="33"/>
      <c r="G16" s="33"/>
      <c r="H16" s="33"/>
      <c r="I16" s="33"/>
      <c r="J16" s="33"/>
      <c r="K16" s="33"/>
      <c r="L16" s="33"/>
    </row>
    <row r="17" spans="2:12" x14ac:dyDescent="0.3">
      <c r="B17" s="43" t="s">
        <v>143</v>
      </c>
      <c r="C17" s="11">
        <v>6771000</v>
      </c>
      <c r="D17" s="11">
        <v>42164000</v>
      </c>
      <c r="E17" s="33">
        <f>0.667*DataInputTable[[#This Row],[Secondary Mission]]</f>
        <v>28123388</v>
      </c>
      <c r="F17" s="33"/>
      <c r="G17" s="33"/>
      <c r="H17" s="33"/>
      <c r="I17" s="33"/>
      <c r="J17" s="33"/>
      <c r="K17" s="33"/>
      <c r="L17" s="33"/>
    </row>
    <row r="18" spans="2:12" x14ac:dyDescent="0.3">
      <c r="B18" s="43" t="s">
        <v>98</v>
      </c>
      <c r="C18" s="11">
        <v>5000000</v>
      </c>
      <c r="D18" s="11">
        <f>0.667*D17</f>
        <v>28123388</v>
      </c>
      <c r="E18" s="33">
        <f>0.667*E17</f>
        <v>18758299.796</v>
      </c>
      <c r="F18" s="33"/>
      <c r="G18" s="33"/>
      <c r="H18" s="33"/>
      <c r="I18" s="33"/>
      <c r="J18" s="33"/>
      <c r="K18" s="33"/>
      <c r="L18" s="33"/>
    </row>
    <row r="19" spans="2:12" ht="28.8" x14ac:dyDescent="0.3">
      <c r="B19" s="43" t="s">
        <v>273</v>
      </c>
      <c r="C19" s="39">
        <f>IF(
    ISBLANK(C16),
    "Oh nyo, pwease insert orbit type ÓwÒ",
            IF(
            C16 = "Circular",
            INDEX(
                  TheDropdownMenuTable_DataInput[Single-stage delta-v for mission],
                  MATCH(
                        C15,
                        TheDropdownMenuTable_DataInput[What kind of mission? ],
                        0
                        )
                   ),
             INDEX(
                   DeltaVCalculator_InitialSizing[],
                   MATCH(
                         C15,
                         DeltaVCalculator_InitialSizing[V: Orbit? | -&gt; Orbit type?],
                         0
                   ),
                   MATCH(
                         C16,
                         DeltaVCalculator_InitialSizing[#Headers],
                         0
                         )
                    )
               )
)</f>
        <v>7668.5932308350311</v>
      </c>
      <c r="D19" s="39">
        <f>IF(
    ISBLANK(D16),
    "Oh nyo, pwease insert orbit type ÓwÒ",
            IF(
            D16 = "Circular",
            INDEX(
                  TheDropdownMenuTable_DataInput[Single-stage delta-v for mission],
                  MATCH(
                        D15,
                        TheDropdownMenuTable_DataInput[What kind of mission? ],
                        0
                        )
                   ),
             INDEX(
                   DeltaVCalculator_InitialSizing[],
                   MATCH(
                         D15,
                         DeltaVCalculator_InitialSizing[V: Orbit? | -&gt; Orbit type?],
                         0
                   ),
                   MATCH(
                         D16,
                         DeltaVCalculator_InitialSizing[#Headers],
                         0
                         )
                    )
               )
)</f>
        <v>10741.65441050474</v>
      </c>
      <c r="E19" s="36">
        <f>IF(
    ISBLANK(E16),
    "Oh nyo, pwease insert orbit type ÓwÒ",
            IF(
            E16 = "Circular",
            INDEX(
                  TheDropdownMenuTable_DataInput[Single-stage delta-v for mission],
                  MATCH(
                        E15,
                        TheDropdownMenuTable_DataInput[What kind of mission? ],
                        0
                        )
                   ),
             INDEX(
                   DeltaVCalculator_InitialSizing[],
                   MATCH(
                         E15,
                         DeltaVCalculator_InitialSizing[V: Orbit? | -&gt; Orbit type?],
                         0
                   ),
                   MATCH(
                         E16,
                         DeltaVCalculator_InitialSizing[#Headers],
                         0
                         )
                    )
               )
)</f>
        <v>10334.196520863028</v>
      </c>
      <c r="F19" s="36" t="str">
        <f>IF(
    ISBLANK(F16),
    "Oh nyo, pwease insert orbit type ÓwÒ",
            IF(
            F16 = "Circular",
            INDEX(
                  TheDropdownMenuTable_DataInput[Single-stage delta-v for mission],
                  MATCH(
                        F15,
                        TheDropdownMenuTable_DataInput[What kind of mission? ],
                        0
                        )
                   ),
             INDEX(
                   DeltaVCalculator_InitialSizing[],
                   MATCH(
                         F15,
                         DeltaVCalculator_InitialSizing[V: Orbit? | -&gt; Orbit type?],
                         0
                   ),
                   MATCH(
                         F16,
                         DeltaVCalculator_InitialSizing[#Headers],
                         0
                         )
                    )
               )
)</f>
        <v>Oh nyo, pwease insert orbit type ÓwÒ</v>
      </c>
      <c r="G19" s="36" t="str">
        <f>IF(
    ISBLANK(G16),
    "Oh nyo, pwease insert orbit type ÓwÒ",
            IF(
            G16 = "Circular",
            INDEX(
                  TheDropdownMenuTable_DataInput[Single-stage delta-v for mission],
                  MATCH(
                        G15,
                        TheDropdownMenuTable_DataInput[What kind of mission? ],
                        0
                        )
                   ),
             INDEX(
                   DeltaVCalculator_InitialSizing[],
                   MATCH(
                         G15,
                         DeltaVCalculator_InitialSizing[V: Orbit? | -&gt; Orbit type?],
                         0
                   ),
                   MATCH(
                         G16,
                         DeltaVCalculator_InitialSizing[#Headers],
                         0
                         )
                    )
               )
)</f>
        <v>Oh nyo, pwease insert orbit type ÓwÒ</v>
      </c>
      <c r="H19" s="36" t="str">
        <f>IF(
    ISBLANK(H16),
    "Oh nyo, pwease insert orbit type ÓwÒ",
            IF(
            H16 = "Circular",
            INDEX(
                  TheDropdownMenuTable_DataInput[Single-stage delta-v for mission],
                  MATCH(
                        H15,
                        TheDropdownMenuTable_DataInput[What kind of mission? ],
                        0
                        )
                   ),
             INDEX(
                   DeltaVCalculator_InitialSizing[],
                   MATCH(
                         H15,
                         DeltaVCalculator_InitialSizing[V: Orbit? | -&gt; Orbit type?],
                         0
                   ),
                   MATCH(
                         H16,
                         DeltaVCalculator_InitialSizing[#Headers],
                         0
                         )
                    )
               )
)</f>
        <v>Oh nyo, pwease insert orbit type ÓwÒ</v>
      </c>
      <c r="I19" s="36" t="str">
        <f>IF(
    ISBLANK(I16),
    "Oh nyo, pwease insert orbit type ÓwÒ",
            IF(
            I16 = "Circular",
            INDEX(
                  TheDropdownMenuTable_DataInput[Single-stage delta-v for mission],
                  MATCH(
                        I15,
                        TheDropdownMenuTable_DataInput[What kind of mission? ],
                        0
                        )
                   ),
             INDEX(
                   DeltaVCalculator_InitialSizing[],
                   MATCH(
                         I15,
                         DeltaVCalculator_InitialSizing[V: Orbit? | -&gt; Orbit type?],
                         0
                   ),
                   MATCH(
                         I16,
                         DeltaVCalculator_InitialSizing[#Headers],
                         0
                         )
                    )
               )
)</f>
        <v>Oh nyo, pwease insert orbit type ÓwÒ</v>
      </c>
      <c r="J19" s="36" t="str">
        <f>IF(
    ISBLANK(J16),
    "Oh nyo, pwease insert orbit type ÓwÒ",
            IF(
            J16 = "Circular",
            INDEX(
                  TheDropdownMenuTable_DataInput[Single-stage delta-v for mission],
                  MATCH(
                        J15,
                        TheDropdownMenuTable_DataInput[What kind of mission? ],
                        0
                        )
                   ),
             INDEX(
                   DeltaVCalculator_InitialSizing[],
                   MATCH(
                         J15,
                         DeltaVCalculator_InitialSizing[V: Orbit? | -&gt; Orbit type?],
                         0
                   ),
                   MATCH(
                         J16,
                         DeltaVCalculator_InitialSizing[#Headers],
                         0
                         )
                    )
               )
)</f>
        <v>Oh nyo, pwease insert orbit type ÓwÒ</v>
      </c>
      <c r="K19" s="36" t="str">
        <f>IF(
    ISBLANK(K16),
    "Oh nyo, pwease insert orbit type ÓwÒ",
            IF(
            K16 = "Circular",
            INDEX(
                  TheDropdownMenuTable_DataInput[Single-stage delta-v for mission],
                  MATCH(
                        K15,
                        TheDropdownMenuTable_DataInput[What kind of mission? ],
                        0
                        )
                   ),
             INDEX(
                   DeltaVCalculator_InitialSizing[],
                   MATCH(
                         K15,
                         DeltaVCalculator_InitialSizing[V: Orbit? | -&gt; Orbit type?],
                         0
                   ),
                   MATCH(
                         K16,
                         DeltaVCalculator_InitialSizing[#Headers],
                         0
                         )
                    )
               )
)</f>
        <v>Oh nyo, pwease insert orbit type ÓwÒ</v>
      </c>
      <c r="L19" s="36" t="str">
        <f>IF(
    ISBLANK(L16),
    "Oh nyo, pwease insert orbit type ÓwÒ",
            IF(
            L16 = "Circular",
            INDEX(
                  TheDropdownMenuTable_DataInput[Single-stage delta-v for mission],
                  MATCH(
                        L15,
                        TheDropdownMenuTable_DataInput[What kind of mission? ],
                        0
                        )
                   ),
             INDEX(
                   DeltaVCalculator_InitialSizing[],
                   MATCH(
                         L15,
                         DeltaVCalculator_InitialSizing[V: Orbit? | -&gt; Orbit type?],
                         0
                   ),
                   MATCH(
                         L16,
                         DeltaVCalculator_InitialSizing[#Headers],
                         0
                         )
                    )
               )
)</f>
        <v>Oh nyo, pwease insert orbit type ÓwÒ</v>
      </c>
    </row>
    <row r="20" spans="2:12" x14ac:dyDescent="0.3">
      <c r="B20" s="43" t="s">
        <v>100</v>
      </c>
      <c r="C20" s="11">
        <v>4</v>
      </c>
      <c r="D20" s="11">
        <v>4</v>
      </c>
      <c r="E20" s="33">
        <v>4</v>
      </c>
      <c r="F20" s="33"/>
      <c r="G20" s="33"/>
      <c r="H20" s="33"/>
      <c r="I20" s="33"/>
      <c r="J20" s="33"/>
      <c r="K20" s="33"/>
      <c r="L20" s="33"/>
    </row>
    <row r="21" spans="2:12" x14ac:dyDescent="0.3">
      <c r="B21" s="43" t="s">
        <v>101</v>
      </c>
      <c r="C21" s="11">
        <v>0</v>
      </c>
      <c r="D21" s="11">
        <v>60</v>
      </c>
      <c r="E21" s="33">
        <v>0</v>
      </c>
      <c r="F21" s="33"/>
      <c r="G21" s="33"/>
      <c r="H21" s="33"/>
      <c r="I21" s="33"/>
      <c r="J21" s="33"/>
      <c r="K21" s="33"/>
      <c r="L21" s="33"/>
    </row>
    <row r="22" spans="2:12" x14ac:dyDescent="0.3">
      <c r="B22" s="43" t="s">
        <v>109</v>
      </c>
      <c r="C22" s="11">
        <v>7.6466430000000001</v>
      </c>
      <c r="D22" s="11">
        <v>7.6466430000000001</v>
      </c>
      <c r="E22" s="33">
        <v>7.6466430000000001</v>
      </c>
      <c r="F22" s="33"/>
      <c r="G22" s="33"/>
      <c r="H22" s="33"/>
      <c r="I22" s="33"/>
      <c r="J22" s="33"/>
      <c r="K22" s="33"/>
      <c r="L22" s="33"/>
    </row>
    <row r="23" spans="2:12" x14ac:dyDescent="0.3">
      <c r="B23" s="43" t="s">
        <v>114</v>
      </c>
      <c r="C23" s="11">
        <v>28.562106</v>
      </c>
      <c r="D23" s="11">
        <v>28.562106</v>
      </c>
      <c r="E23" s="33">
        <v>28.562106</v>
      </c>
      <c r="F23" s="33"/>
      <c r="G23" s="33"/>
      <c r="H23" s="33"/>
      <c r="I23" s="33"/>
      <c r="J23" s="33"/>
      <c r="K23" s="33"/>
      <c r="L23" s="33"/>
    </row>
    <row r="24" spans="2:12" x14ac:dyDescent="0.3">
      <c r="B24" s="43" t="s">
        <v>115</v>
      </c>
      <c r="C24" s="5">
        <f>IFERROR(
    C19 +
    SUM(
        (1.3 * 0.5 * 3.14159265358979 * (0.5 * $C$9)^2) / (9.81 * C14 * (2 - $C$10)),
        (9.81 * (1 - GEOMEAN($C$20:$L$20))),
        (2 * C19 * SIN(RADIANS(ABS(C21 - GEOMEAN(C22:C23))) / 2))
    ),
    "Well, that can't happen. Whoops...."
)</f>
        <v>9611.6724427265253</v>
      </c>
      <c r="D24" s="5">
        <f t="shared" ref="D24:L24" si="0">IFERROR(
    D19 +
    SUM(
        (1.3 * 0.5 * 3.14159265358979 * (0.5 * $C$9)^2) / (9.81 * D14 * (2 - $C$10)),
        (9.81 * (1 - GEOMEAN($C$20:$L$20))),
        (2 * D19 * SIN(RADIANS(ABS(D21 - GEOMEAN(D22:D23))) / 2))
    ),
    "Well, that can't happen. Whoops...."
)</f>
        <v>18971.879786595753</v>
      </c>
      <c r="E24" s="5">
        <f t="shared" si="0"/>
        <v>12962.920017163224</v>
      </c>
      <c r="F24" s="5" t="str">
        <f t="shared" si="0"/>
        <v>Well, that can't happen. Whoops....</v>
      </c>
      <c r="G24" s="5" t="str">
        <f t="shared" si="0"/>
        <v>Well, that can't happen. Whoops....</v>
      </c>
      <c r="H24" s="5" t="str">
        <f t="shared" si="0"/>
        <v>Well, that can't happen. Whoops....</v>
      </c>
      <c r="I24" s="5" t="str">
        <f t="shared" si="0"/>
        <v>Well, that can't happen. Whoops....</v>
      </c>
      <c r="J24" s="5" t="str">
        <f t="shared" si="0"/>
        <v>Well, that can't happen. Whoops....</v>
      </c>
      <c r="K24" s="5" t="str">
        <f t="shared" si="0"/>
        <v>Well, that can't happen. Whoops....</v>
      </c>
      <c r="L24" s="5" t="str">
        <f t="shared" si="0"/>
        <v>Well, that can't happen. Whoops....</v>
      </c>
    </row>
    <row r="26" spans="2:12" x14ac:dyDescent="0.3">
      <c r="H26" t="e" cm="1" vm="1">
        <f t="array" ref="H26">_xlfn._xlws.PY(0,1,DataInputTable[[Primary Mission]:[Mission '#10]],DataInputTable[Attribute],DataInputTable[[#Headers],[Primary Mission]:[Mission '#10]])</f>
        <v>#VALUE!</v>
      </c>
    </row>
    <row r="27" spans="2:12" x14ac:dyDescent="0.3">
      <c r="E27" s="65" t="s">
        <v>118</v>
      </c>
      <c r="F27" s="66"/>
      <c r="G27" s="67"/>
      <c r="H27" s="38" t="s">
        <v>165</v>
      </c>
    </row>
    <row r="28" spans="2:12" x14ac:dyDescent="0.3">
      <c r="E28" s="5" t="s">
        <v>119</v>
      </c>
      <c r="F28" s="5" cm="1">
        <f t="array" ref="F28">_xlfn._xlws.PY(1,0)</f>
        <v>9654.8938460562986</v>
      </c>
      <c r="G28" s="5" t="s">
        <v>39</v>
      </c>
    </row>
    <row r="29" spans="2:12" x14ac:dyDescent="0.3">
      <c r="E29" s="5" t="s">
        <v>134</v>
      </c>
      <c r="F29" s="5" cm="1">
        <f t="array" ref="F29">_xlfn._xlws.PY(2,0)</f>
        <v>9477.3706242110438</v>
      </c>
      <c r="G29" s="5" t="s">
        <v>123</v>
      </c>
    </row>
    <row r="30" spans="2:12" x14ac:dyDescent="0.3">
      <c r="E30" s="5" t="s">
        <v>156</v>
      </c>
      <c r="F30" s="5" cm="1">
        <f t="array" ref="F30">_xlfn._xlws.PY(3,0)</f>
        <v>20</v>
      </c>
      <c r="G30" s="5" t="s">
        <v>122</v>
      </c>
    </row>
    <row r="31" spans="2:12" x14ac:dyDescent="0.3">
      <c r="E31" s="5" t="s">
        <v>120</v>
      </c>
      <c r="F31" s="5" cm="1">
        <f t="array" ref="F31">_xlfn._xlws.PY(4,0)</f>
        <v>14.778505604767959</v>
      </c>
      <c r="G31" s="5" t="s">
        <v>122</v>
      </c>
    </row>
    <row r="32" spans="2:12" x14ac:dyDescent="0.3">
      <c r="E32" s="5" t="s">
        <v>121</v>
      </c>
      <c r="F32" s="5" cm="1">
        <f t="array" ref="F32">_xlfn._xlws.PY(5,0)</f>
        <v>13321.017203557933</v>
      </c>
      <c r="G32" s="5" t="s">
        <v>123</v>
      </c>
    </row>
    <row r="33" spans="2:7" x14ac:dyDescent="0.3">
      <c r="E33" s="5" t="s">
        <v>162</v>
      </c>
      <c r="F33" s="5" cm="1">
        <f t="array" ref="F33">_xlfn._xlws.PY(6,0)</f>
        <v>18971.879786595753</v>
      </c>
      <c r="G33" s="5" t="s">
        <v>123</v>
      </c>
    </row>
    <row r="35" spans="2:7" x14ac:dyDescent="0.3">
      <c r="D35" s="32"/>
    </row>
    <row r="43" spans="2:7" x14ac:dyDescent="0.3">
      <c r="B43" s="61" t="s">
        <v>117</v>
      </c>
      <c r="C43" s="61"/>
      <c r="D43" s="61"/>
      <c r="E43" s="61"/>
      <c r="F43" s="38"/>
    </row>
    <row r="44" spans="2:7" x14ac:dyDescent="0.3">
      <c r="B44" s="1" t="s">
        <v>102</v>
      </c>
      <c r="C44" s="2" t="s">
        <v>86</v>
      </c>
      <c r="D44" s="2" t="s">
        <v>131</v>
      </c>
      <c r="E44" s="3" t="s">
        <v>97</v>
      </c>
    </row>
    <row r="45" spans="2:7" x14ac:dyDescent="0.3">
      <c r="B45" s="4" t="s">
        <v>103</v>
      </c>
      <c r="C45" s="5" t="s">
        <v>132</v>
      </c>
      <c r="D45" s="5">
        <f>IFERROR(((9.81*6371000^2)/(INDEX($C$17:$L$17, (MATCH("LEO (ISS mission mostly)", $C$15:$L$15, 0)))))^0.5, ((9.81*6371000^2)/(6378000+400000))^0.5)</f>
        <v>7668.5932308350311</v>
      </c>
      <c r="E45" s="6" t="s">
        <v>110</v>
      </c>
    </row>
    <row r="46" spans="2:7" x14ac:dyDescent="0.3">
      <c r="B46" s="4" t="s">
        <v>104</v>
      </c>
      <c r="C46" s="5" t="s">
        <v>107</v>
      </c>
      <c r="D46" s="5">
        <f>IFERROR($D$45+((9.81*6371000^2)/(INDEX($C$17:$L$17,(MATCH("MEO",$C$15:$L$15,0)))))^0.5, $D$45+((9.81*6371000^2)/(6378000+AVERAGE(1000000, 35786000)))^0.5)</f>
        <v>11431.368573829686</v>
      </c>
      <c r="E46" s="6" t="s">
        <v>111</v>
      </c>
    </row>
    <row r="47" spans="2:7" x14ac:dyDescent="0.3">
      <c r="B47" s="4" t="s">
        <v>105</v>
      </c>
      <c r="C47" s="5" t="s">
        <v>144</v>
      </c>
      <c r="D47" s="5">
        <f>IFERROR($D$45+((9.81*6371000^2)/(INDEX($C$17:$L$17,(MATCH("GEO/GTO",$C$15:$L$15,0)))))^0.5, $D$45+((9.81*6371000^2)/42164000)^0.5)</f>
        <v>10741.65441050474</v>
      </c>
      <c r="E47" s="6" t="s">
        <v>142</v>
      </c>
    </row>
    <row r="48" spans="2:7" x14ac:dyDescent="0.3">
      <c r="B48" s="4" t="s">
        <v>106</v>
      </c>
      <c r="C48" s="5" t="s">
        <v>135</v>
      </c>
      <c r="D48" s="5">
        <f>$D$45+3200+900</f>
        <v>11768.593230835031</v>
      </c>
      <c r="E48" s="6" t="s">
        <v>145</v>
      </c>
    </row>
    <row r="49" spans="2:7" x14ac:dyDescent="0.3">
      <c r="B49" s="4"/>
      <c r="C49" s="5" t="s">
        <v>136</v>
      </c>
      <c r="D49" s="5">
        <f>$D$45+4300+900</f>
        <v>12868.593230835031</v>
      </c>
      <c r="E49" s="6" t="s">
        <v>113</v>
      </c>
    </row>
    <row r="50" spans="2:7" x14ac:dyDescent="0.3">
      <c r="B50" s="4"/>
      <c r="C50" s="5" t="s">
        <v>108</v>
      </c>
      <c r="D50" s="5">
        <f>$D$45 + GEOMEAN(5500, 3500) + 900</f>
        <v>12956.075424531093</v>
      </c>
      <c r="E50" s="6"/>
    </row>
    <row r="51" spans="2:7" x14ac:dyDescent="0.3">
      <c r="B51" s="7"/>
      <c r="C51" s="8" t="s">
        <v>112</v>
      </c>
      <c r="D51" s="5">
        <f>$D$45 + GEOMEAN(6300, 7300, 8000, 8200, 8200) + 900</f>
        <v>16131.281864605833</v>
      </c>
      <c r="E51" s="9"/>
    </row>
    <row r="53" spans="2:7" x14ac:dyDescent="0.3">
      <c r="B53" s="62" t="s">
        <v>137</v>
      </c>
      <c r="C53" s="63"/>
      <c r="D53" s="63"/>
      <c r="E53" s="63"/>
      <c r="F53" s="64"/>
      <c r="G53" s="38"/>
    </row>
    <row r="54" spans="2:7" x14ac:dyDescent="0.3">
      <c r="B54" s="37" t="s">
        <v>138</v>
      </c>
      <c r="C54" s="2" t="s">
        <v>110</v>
      </c>
      <c r="D54" s="2" t="s">
        <v>111</v>
      </c>
      <c r="E54" s="6" t="s">
        <v>142</v>
      </c>
      <c r="F54" s="6" t="s">
        <v>145</v>
      </c>
    </row>
    <row r="55" spans="2:7" x14ac:dyDescent="0.3">
      <c r="B55" s="4" t="s">
        <v>132</v>
      </c>
      <c r="C55" s="5">
        <f t="shared" ref="C55:C61" si="1">D45</f>
        <v>7668.5932308350311</v>
      </c>
      <c r="D55" s="41">
        <f>IFERROR(
    ((9.81 * (6378000 ^ 2)) *
        (
            (2 / INDEX($C$17:$L$17, MATCH("LEO (ISS mission mostly)", $C$15:$L$15, 0))) -
            (1 / INDEX($C$18:$L$18, MATCH("LEO (ISS mission mostly)", $C$15:$L$15, 0)))
        )
    ) ^ 0.5,
    ((9.81 * (6378000 ^ 2)) *
        (
            (2 / (6378000 + 400000)) -
            (1 / (0.667 * (6378000 + 400000)))
        )
    ) ^ 0.5
)</f>
        <v>6169.3815741249846</v>
      </c>
      <c r="E55" s="5">
        <f>IFERROR(
    ((2 * 9.81 * (6371000 ^ 2)) / INDEX($C$17:$L$17, MATCH("LEO (ISS mission mostly)", $C$15:$L$15, 0))) ^ 0.5,
    ((2 * 9.81 * (6371000 ^ 2)) / (6371000 + 400000)) ^ 0.5
)</f>
        <v>10845.028551369413</v>
      </c>
      <c r="F55" s="5">
        <f>IFERROR(
    ((2 * 9.81 * (6371000 ^ 2)) / INDEX($C$17:$L$17, MATCH("LEO (ISS mission mostly)", $C$15:$L$15, 0)) + 1000^2) ^ 0.5,
    (((2 * 9.81 * (6371000 ^ 2)) / (6371000 + 400000)) + 1000^2) ^ 0.5
)</f>
        <v>10891.035041722054</v>
      </c>
    </row>
    <row r="56" spans="2:7" x14ac:dyDescent="0.3">
      <c r="B56" s="4" t="s">
        <v>107</v>
      </c>
      <c r="C56" s="5">
        <f>D46</f>
        <v>11431.368573829686</v>
      </c>
      <c r="D56" s="41">
        <f>IFERROR($D$45 +
    ((9.81 * (6378000 ^ 2)) *
        (
            (2 / INDEX($C$17:$L$17, MATCH("MEO", $C$15:$L$15, 0))) -
            (1 / INDEX($C$18:$L$18, MATCH("MEO", $C$15:$L$15, 0)))
        )
    ) ^ 0.5, $D$45 +
    ((9.81 * (6378000 ^ 2)) *
        (
            (2 / (6378000 + AVERAGE(1000000, 35786000))) -
            (1 / (0.667 * (6378000 + AVERAGE(1000000, 35786000))))
        )
    ) ^ 0.5
)</f>
        <v>10334.196520863028</v>
      </c>
      <c r="E56" s="5">
        <f>IFERROR(
    ((2 * 9.81 * (6371000 ^ 2)) / INDEX($C$17:$L$17, MATCH("MEO", $C$15:$L$15, 0))) ^ 0.5,
    ((2 * 9.81 * (6371000 ^ 2)) / (6371000 + AVERAGE(1000000,35786000))) ^ 0.5
)</f>
        <v>5321.3679222261162</v>
      </c>
      <c r="F56" s="5">
        <f>IFERROR(
    ((2 * 9.81 * (6371000 ^ 2)) / INDEX($C$17:$L$17, MATCH("MEO", $C$15:$L$15, 0)) + 1000^2) ^ 0.5,
    (((2 * 9.81 * (6371000 ^ 2)) / (6371000 + AVERAGE(1000000,35786000))) + 1000^2) ^ 0.5
)</f>
        <v>5414.513511267387</v>
      </c>
    </row>
    <row r="57" spans="2:7" x14ac:dyDescent="0.3">
      <c r="B57" s="5" t="s">
        <v>144</v>
      </c>
      <c r="C57" s="5">
        <f t="shared" si="1"/>
        <v>10741.65441050474</v>
      </c>
      <c r="D57" s="41">
        <f>IFERROR($D$45 +
    ((9.81 * (6378000 ^ 2)) *
        (
            (2 / INDEX($C$17:$L$17, MATCH("GEO/GTO", $C$15:$L$15, 0))) -
            (1 / INDEX($C$18:$L$18, MATCH("GEO/GTO", $C$15:$L$15, 0)))
        )
    ) ^ 0.5, $D$45 +
    ((9.81 * (6378000 ^ 2)) *
        (
            (2 / (42164000)) -
            (1 / (0.667 * (42164000)))
        )
    ) ^ 0.5
)</f>
        <v>9845.5932492484426</v>
      </c>
      <c r="E57" s="5">
        <f>IFERROR(
    ((2 * 9.81 * (6371000 ^ 2)) / INDEX($C$17:$L$17, MATCH("GEO/GTO", $C$15:$L$15, 0))) ^ 0.5,
    ((2 * 9.81 * (6371000 ^ 2)) / (42164000)) ^ 0.5
)</f>
        <v>4345.9647982911647</v>
      </c>
      <c r="F57" s="5">
        <f>IFERROR(
    ((2 * 9.81 * (6371000 ^ 2)) / INDEX($C$17:$L$17, MATCH("GEO/GTO", $C$15:$L$15, 0)) + 1000^2) ^ 0.5,
    (((2 * 9.81 * (6371000 ^ 2)) / (42164000)) + 1000^2) ^ 0.5
)</f>
        <v>4459.5302474572318</v>
      </c>
    </row>
    <row r="58" spans="2:7" x14ac:dyDescent="0.3">
      <c r="B58" s="4" t="s">
        <v>135</v>
      </c>
      <c r="C58" s="5">
        <f t="shared" si="1"/>
        <v>11768.593230835031</v>
      </c>
      <c r="D58" s="5" t="s">
        <v>113</v>
      </c>
      <c r="E58" s="5" t="s">
        <v>113</v>
      </c>
      <c r="F58" s="5" t="s">
        <v>113</v>
      </c>
    </row>
    <row r="59" spans="2:7" x14ac:dyDescent="0.3">
      <c r="B59" s="4" t="s">
        <v>136</v>
      </c>
      <c r="C59" s="5">
        <f t="shared" si="1"/>
        <v>12868.593230835031</v>
      </c>
      <c r="D59" s="5" t="s">
        <v>113</v>
      </c>
      <c r="E59" s="5" t="s">
        <v>113</v>
      </c>
      <c r="F59" s="5" t="s">
        <v>113</v>
      </c>
    </row>
    <row r="60" spans="2:7" x14ac:dyDescent="0.3">
      <c r="B60" s="4" t="s">
        <v>108</v>
      </c>
      <c r="C60" s="5">
        <f t="shared" si="1"/>
        <v>12956.075424531093</v>
      </c>
      <c r="D60" s="5" t="s">
        <v>113</v>
      </c>
      <c r="E60" s="5" t="s">
        <v>113</v>
      </c>
      <c r="F60" s="5" t="s">
        <v>113</v>
      </c>
    </row>
    <row r="61" spans="2:7" x14ac:dyDescent="0.3">
      <c r="B61" s="7" t="s">
        <v>112</v>
      </c>
      <c r="C61" s="8">
        <f t="shared" si="1"/>
        <v>16131.281864605833</v>
      </c>
      <c r="D61" s="5" t="s">
        <v>113</v>
      </c>
      <c r="E61" s="5" t="s">
        <v>113</v>
      </c>
      <c r="F61" s="5" t="s">
        <v>113</v>
      </c>
    </row>
    <row r="63" spans="2:7" x14ac:dyDescent="0.3">
      <c r="B63" s="38" t="s">
        <v>166</v>
      </c>
    </row>
  </sheetData>
  <mergeCells count="4">
    <mergeCell ref="B53:F53"/>
    <mergeCell ref="B2:C3"/>
    <mergeCell ref="E27:G27"/>
    <mergeCell ref="B43:E43"/>
  </mergeCells>
  <phoneticPr fontId="2" type="noConversion"/>
  <dataValidations count="3">
    <dataValidation type="list" allowBlank="1" showInputMessage="1" showErrorMessage="1" sqref="C15:L15" xr:uid="{5FC44AAE-2425-4C49-BB31-EA27922BA772}">
      <formula1>$C$45:$C$51</formula1>
    </dataValidation>
    <dataValidation type="list" allowBlank="1" showInputMessage="1" showErrorMessage="1" sqref="C16:L16" xr:uid="{2CFFEFD3-75D7-47F7-93A4-DE08DD0642D8}">
      <formula1>$E$45:$E$51</formula1>
    </dataValidation>
    <dataValidation type="list" allowBlank="1" showInputMessage="1" showErrorMessage="1" sqref="C8" xr:uid="{AA0487CF-7D63-4876-836D-176643C650DB}">
      <formula1>$B$45:$B$51</formula1>
    </dataValidation>
  </dataValidations>
  <pageMargins left="0.7" right="0.7" top="0.75" bottom="0.75" header="0.3" footer="0.3"/>
  <pageSetup orientation="portrait" r:id="rId1"/>
  <ignoredErrors>
    <ignoredError sqref="F15" calculatedColumn="1"/>
  </ignoredErrors>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2A92-EDB0-493F-BE9F-61B52BCD98C8}">
  <sheetPr codeName="Sheet2"/>
  <dimension ref="A1:P71"/>
  <sheetViews>
    <sheetView topLeftCell="A59" zoomScale="115" zoomScaleNormal="115" workbookViewId="0">
      <selection activeCell="B5" sqref="B5"/>
    </sheetView>
  </sheetViews>
  <sheetFormatPr defaultRowHeight="14.4" x14ac:dyDescent="0.3"/>
  <cols>
    <col min="1" max="1" width="18.21875" customWidth="1"/>
    <col min="2" max="2" width="32.5546875" bestFit="1" customWidth="1"/>
    <col min="3" max="3" width="16.109375" bestFit="1" customWidth="1"/>
    <col min="4" max="4" width="19.77734375" bestFit="1" customWidth="1"/>
    <col min="5" max="5" width="18.21875" customWidth="1"/>
    <col min="6" max="6" width="21.33203125" bestFit="1" customWidth="1"/>
    <col min="7" max="14" width="18.21875" customWidth="1"/>
  </cols>
  <sheetData>
    <row r="1" spans="1:16" x14ac:dyDescent="0.3">
      <c r="A1" s="59" t="s">
        <v>36</v>
      </c>
      <c r="B1" s="59"/>
    </row>
    <row r="2" spans="1:16" x14ac:dyDescent="0.3">
      <c r="A2" s="59"/>
      <c r="B2" s="59"/>
    </row>
    <row r="3" spans="1:16" x14ac:dyDescent="0.3">
      <c r="A3" t="s">
        <v>133</v>
      </c>
    </row>
    <row r="5" spans="1:16" x14ac:dyDescent="0.3">
      <c r="B5" s="5" t="s">
        <v>147</v>
      </c>
      <c r="C5" s="11">
        <v>0.9</v>
      </c>
    </row>
    <row r="6" spans="1:16" x14ac:dyDescent="0.3">
      <c r="B6" s="5" t="s">
        <v>148</v>
      </c>
      <c r="C6" s="11">
        <v>0.1</v>
      </c>
    </row>
    <row r="9" spans="1:16" x14ac:dyDescent="0.3">
      <c r="A9" s="1" t="s">
        <v>0</v>
      </c>
      <c r="B9" s="2" t="s">
        <v>2</v>
      </c>
      <c r="C9" s="2" t="s">
        <v>14</v>
      </c>
      <c r="D9" s="2" t="s">
        <v>4</v>
      </c>
      <c r="E9" s="2" t="s">
        <v>3</v>
      </c>
      <c r="F9" s="2" t="s">
        <v>15</v>
      </c>
      <c r="G9" s="2" t="s">
        <v>41</v>
      </c>
      <c r="H9" s="2" t="s">
        <v>29</v>
      </c>
      <c r="I9" s="2" t="s">
        <v>16</v>
      </c>
      <c r="J9" s="10" t="s">
        <v>223</v>
      </c>
      <c r="K9" s="2" t="s">
        <v>28</v>
      </c>
      <c r="L9" s="2" t="s">
        <v>18</v>
      </c>
      <c r="M9" s="2" t="s">
        <v>17</v>
      </c>
      <c r="N9" s="3" t="s">
        <v>34</v>
      </c>
      <c r="P9" t="e" cm="1" vm="2">
        <f t="array" ref="P9">_xlfn._xlws.PY(7,1)</f>
        <v>#VALUE!</v>
      </c>
    </row>
    <row r="10" spans="1:16" x14ac:dyDescent="0.3">
      <c r="A10" s="4" t="s">
        <v>1</v>
      </c>
      <c r="B10" s="5">
        <f>'Data Input'!$F$28</f>
        <v>9654.8938460562986</v>
      </c>
      <c r="C10" s="35"/>
      <c r="D10" s="35"/>
      <c r="E10" s="35"/>
      <c r="F10" s="35"/>
      <c r="G10" s="5">
        <f>B10</f>
        <v>9654.8938460562986</v>
      </c>
      <c r="H10" s="35"/>
      <c r="I10" s="35"/>
      <c r="J10" s="35"/>
      <c r="K10" s="35"/>
      <c r="L10" s="35"/>
      <c r="M10" s="35"/>
      <c r="N10" s="35"/>
    </row>
    <row r="11" spans="1:16" x14ac:dyDescent="0.3">
      <c r="A11" s="4">
        <v>1</v>
      </c>
      <c r="B11" s="5">
        <f>G10</f>
        <v>9654.8938460562986</v>
      </c>
      <c r="C11" s="5" t="s">
        <v>21</v>
      </c>
      <c r="D11" s="5" t="s">
        <v>7</v>
      </c>
      <c r="E11" s="5" t="s">
        <v>10</v>
      </c>
      <c r="F11" s="5">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220.6</v>
      </c>
      <c r="G11" s="5">
        <f>$C$6*LeInitialSizingTable[[#This Row],[Final mass]]</f>
        <v>965.48938460562988</v>
      </c>
      <c r="H11" s="5">
        <f>($C$5*(LeInitialSizingTable[[#This Row],[Stage dry mass]]+LeInitialSizingTable[[#This Row],[Final mass]]))/(1-$C$5)</f>
        <v>95583.449075957382</v>
      </c>
      <c r="I11" s="5">
        <f>LeInitialSizingTable[[#This Row],[Propellant mass]] + LeInitialSizingTable[[#This Row],[Stage dry mass]]</f>
        <v>96548.938460563018</v>
      </c>
      <c r="J11" s="5">
        <f>9.81*LeInitialSizingTable[[#This Row],[Specific impulse]]*LN(LeInitialSizingTable[[#This Row],[Wet mass]]/(LeInitialSizingTable[[#This Row],[Stage dry mass]]+LeInitialSizingTable[[#This Row],[Final mass]]))</f>
        <v>4776.7327377850916</v>
      </c>
      <c r="K11" s="11">
        <v>30</v>
      </c>
      <c r="L11" s="5">
        <f>9.81*LeInitialSizingTable[[#This Row],[Specific impulse]]*(LeInitialSizingTable[[#This Row],[Propellant mass]]/LeInitialSizingTable[[#This Row],[Burn time]])</f>
        <v>6895026.7992330771</v>
      </c>
      <c r="M11" s="5">
        <f>LeInitialSizingTable[[#This Row],[Thrust]]*LeInitialSizingTable[[#This Row],[Burn time]]</f>
        <v>206850803.97699231</v>
      </c>
      <c r="N11" s="6">
        <f>SUM(J11)</f>
        <v>4776.7327377850916</v>
      </c>
    </row>
    <row r="12" spans="1:16" x14ac:dyDescent="0.3">
      <c r="A12" s="4">
        <v>2</v>
      </c>
      <c r="B12" s="5">
        <f>I11</f>
        <v>96548.938460563018</v>
      </c>
      <c r="C12" s="5" t="s">
        <v>21</v>
      </c>
      <c r="D12" s="5" t="s">
        <v>7</v>
      </c>
      <c r="E12" s="5" t="s">
        <v>10</v>
      </c>
      <c r="F12" s="5">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220.6</v>
      </c>
      <c r="G12" s="5">
        <f>$C$6*LeInitialSizingTable[[#This Row],[Final mass]]</f>
        <v>9654.8938460563022</v>
      </c>
      <c r="H12" s="5">
        <f>($C$5*(LeInitialSizingTable[[#This Row],[Stage dry mass]]+LeInitialSizingTable[[#This Row],[Final mass]]))/(1-$C$5)</f>
        <v>955834.49075957423</v>
      </c>
      <c r="I12" s="5">
        <f>LeInitialSizingTable[[#This Row],[Propellant mass]] + LeInitialSizingTable[[#This Row],[Stage dry mass]]</f>
        <v>965489.38460563053</v>
      </c>
      <c r="J12" s="5">
        <f>9.81*LeInitialSizingTable[[#This Row],[Specific impulse]]*LN(LeInitialSizingTable[[#This Row],[Wet mass]]/(LeInitialSizingTable[[#This Row],[Stage dry mass]]+LeInitialSizingTable[[#This Row],[Final mass]]))</f>
        <v>4776.7327377850916</v>
      </c>
      <c r="K12" s="11">
        <v>60</v>
      </c>
      <c r="L12" s="5">
        <f>9.81*LeInitialSizingTable[[#This Row],[Specific impulse]]*(LeInitialSizingTable[[#This Row],[Propellant mass]]/LeInitialSizingTable[[#This Row],[Burn time]])</f>
        <v>34475133.996165402</v>
      </c>
      <c r="M12" s="5">
        <f>LeInitialSizingTable[[#This Row],[Thrust]]*LeInitialSizingTable[[#This Row],[Burn time]]</f>
        <v>2068508039.7699242</v>
      </c>
      <c r="N12" s="6">
        <f>SUM($J$11:J12)</f>
        <v>9553.4654755701831</v>
      </c>
    </row>
    <row r="13" spans="1:16" x14ac:dyDescent="0.3">
      <c r="A13" s="4">
        <v>3</v>
      </c>
      <c r="B13" s="5">
        <f>I12</f>
        <v>965489.38460563053</v>
      </c>
      <c r="C13" s="5" t="s">
        <v>20</v>
      </c>
      <c r="D13" s="5" t="s">
        <v>8</v>
      </c>
      <c r="E13" s="5" t="s">
        <v>30</v>
      </c>
      <c r="F13" s="5">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368.50157999999999</v>
      </c>
      <c r="G13" s="5">
        <f>$C$6*LeInitialSizingTable[[#This Row],[Final mass]]</f>
        <v>96548.938460563062</v>
      </c>
      <c r="H13" s="5">
        <f>($C$5*(LeInitialSizingTable[[#This Row],[Stage dry mass]]+LeInitialSizingTable[[#This Row],[Final mass]]))/(1-$C$5)</f>
        <v>9558344.9075957444</v>
      </c>
      <c r="I13" s="5">
        <f>LeInitialSizingTable[[#This Row],[Propellant mass]] + LeInitialSizingTable[[#This Row],[Stage dry mass]]</f>
        <v>9654893.8460563067</v>
      </c>
      <c r="J13" s="5">
        <f>9.81*LeInitialSizingTable[[#This Row],[Specific impulse]]*LN(LeInitialSizingTable[[#This Row],[Wet mass]]/(LeInitialSizingTable[[#This Row],[Stage dry mass]]+LeInitialSizingTable[[#This Row],[Final mass]]))</f>
        <v>7979.2999143768429</v>
      </c>
      <c r="K13" s="11">
        <v>120</v>
      </c>
      <c r="L13" s="5">
        <f>9.81*LeInitialSizingTable[[#This Row],[Specific impulse]]*(LeInitialSizingTable[[#This Row],[Propellant mass]]/LeInitialSizingTable[[#This Row],[Burn time]])</f>
        <v>287945180.15182835</v>
      </c>
      <c r="M13" s="5">
        <f>LeInitialSizingTable[[#This Row],[Thrust]]*LeInitialSizingTable[[#This Row],[Burn time]]</f>
        <v>34553421618.219398</v>
      </c>
      <c r="N13" s="6">
        <f>SUM($J$11:J13)</f>
        <v>17532.765389947024</v>
      </c>
    </row>
    <row r="14" spans="1:16" x14ac:dyDescent="0.3">
      <c r="A14" s="4">
        <v>4</v>
      </c>
      <c r="B14" s="5">
        <f t="shared" ref="B14:B20" si="0">I13</f>
        <v>9654893.8460563067</v>
      </c>
      <c r="C14" s="5"/>
      <c r="D14" s="5"/>
      <c r="E14" s="5"/>
      <c r="F14"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4" s="5">
        <f>$C$6*LeInitialSizingTable[[#This Row],[Final mass]]</f>
        <v>965489.38460563077</v>
      </c>
      <c r="H14" s="5">
        <f>($C$5*(LeInitialSizingTable[[#This Row],[Stage dry mass]]+LeInitialSizingTable[[#This Row],[Final mass]]))/(1-$C$5)</f>
        <v>95583449.075957462</v>
      </c>
      <c r="I14" s="5">
        <f>LeInitialSizingTable[[#This Row],[Propellant mass]] + LeInitialSizingTable[[#This Row],[Stage dry mass]]</f>
        <v>96548938.460563093</v>
      </c>
      <c r="J14" s="5" t="e">
        <f>9.81*LeInitialSizingTable[[#This Row],[Specific impulse]]*LN(LeInitialSizingTable[[#This Row],[Wet mass]]/(LeInitialSizingTable[[#This Row],[Stage dry mass]]+LeInitialSizingTable[[#This Row],[Final mass]]))</f>
        <v>#N/A</v>
      </c>
      <c r="K14" s="11"/>
      <c r="L14" s="5" t="e">
        <f>9.81*LeInitialSizingTable[[#This Row],[Specific impulse]]*(LeInitialSizingTable[[#This Row],[Propellant mass]]/LeInitialSizingTable[[#This Row],[Burn time]])</f>
        <v>#N/A</v>
      </c>
      <c r="M14" s="5" t="e">
        <f>LeInitialSizingTable[[#This Row],[Thrust]]*LeInitialSizingTable[[#This Row],[Burn time]]</f>
        <v>#N/A</v>
      </c>
      <c r="N14" s="6" t="e">
        <f>SUM($J$11:J14)</f>
        <v>#N/A</v>
      </c>
    </row>
    <row r="15" spans="1:16" x14ac:dyDescent="0.3">
      <c r="A15" s="4">
        <v>5</v>
      </c>
      <c r="B15" s="5">
        <f t="shared" si="0"/>
        <v>96548938.460563093</v>
      </c>
      <c r="C15" s="5"/>
      <c r="D15" s="5"/>
      <c r="E15" s="5"/>
      <c r="F15"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5" s="5">
        <f>$C$6*LeInitialSizingTable[[#This Row],[Final mass]]</f>
        <v>9654893.8460563105</v>
      </c>
      <c r="H15" s="5">
        <f>($C$5*(LeInitialSizingTable[[#This Row],[Stage dry mass]]+LeInitialSizingTable[[#This Row],[Final mass]]))/(1-$C$5)</f>
        <v>955834490.75957489</v>
      </c>
      <c r="I15" s="5">
        <f>LeInitialSizingTable[[#This Row],[Propellant mass]] + LeInitialSizingTable[[#This Row],[Stage dry mass]]</f>
        <v>965489384.60563123</v>
      </c>
      <c r="J15" s="5" t="e">
        <f>9.81*LeInitialSizingTable[[#This Row],[Specific impulse]]*LN(LeInitialSizingTable[[#This Row],[Wet mass]]/(LeInitialSizingTable[[#This Row],[Stage dry mass]]+LeInitialSizingTable[[#This Row],[Final mass]]))</f>
        <v>#N/A</v>
      </c>
      <c r="K15" s="11"/>
      <c r="L15" s="5" t="e">
        <f>9.81*LeInitialSizingTable[[#This Row],[Specific impulse]]*(LeInitialSizingTable[[#This Row],[Propellant mass]]/LeInitialSizingTable[[#This Row],[Burn time]])</f>
        <v>#N/A</v>
      </c>
      <c r="M15" s="5" t="e">
        <f>LeInitialSizingTable[[#This Row],[Thrust]]*LeInitialSizingTable[[#This Row],[Burn time]]</f>
        <v>#N/A</v>
      </c>
      <c r="N15" s="6" t="e">
        <f>SUM($J$11:J15)</f>
        <v>#N/A</v>
      </c>
    </row>
    <row r="16" spans="1:16" x14ac:dyDescent="0.3">
      <c r="A16" s="4">
        <v>6</v>
      </c>
      <c r="B16" s="5">
        <f t="shared" si="0"/>
        <v>965489384.60563123</v>
      </c>
      <c r="C16" s="5"/>
      <c r="D16" s="5"/>
      <c r="E16" s="5"/>
      <c r="F16"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6" s="5">
        <f>$C$6*LeInitialSizingTable[[#This Row],[Final mass]]</f>
        <v>96548938.460563123</v>
      </c>
      <c r="H16" s="5">
        <f>($C$5*(LeInitialSizingTable[[#This Row],[Stage dry mass]]+LeInitialSizingTable[[#This Row],[Final mass]]))/(1-$C$5)</f>
        <v>9558344907.5957508</v>
      </c>
      <c r="I16" s="5">
        <f>LeInitialSizingTable[[#This Row],[Propellant mass]] + LeInitialSizingTable[[#This Row],[Stage dry mass]]</f>
        <v>9654893846.0563145</v>
      </c>
      <c r="J16" s="5" t="e">
        <f>9.81*LeInitialSizingTable[[#This Row],[Specific impulse]]*LN(LeInitialSizingTable[[#This Row],[Wet mass]]/(LeInitialSizingTable[[#This Row],[Stage dry mass]]+LeInitialSizingTable[[#This Row],[Final mass]]))</f>
        <v>#N/A</v>
      </c>
      <c r="K16" s="11"/>
      <c r="L16" s="5" t="e">
        <f>9.81*LeInitialSizingTable[[#This Row],[Specific impulse]]*(LeInitialSizingTable[[#This Row],[Propellant mass]]/LeInitialSizingTable[[#This Row],[Burn time]])</f>
        <v>#N/A</v>
      </c>
      <c r="M16" s="5" t="e">
        <f>LeInitialSizingTable[[#This Row],[Thrust]]*LeInitialSizingTable[[#This Row],[Burn time]]</f>
        <v>#N/A</v>
      </c>
      <c r="N16" s="6" t="e">
        <f>SUM($J$11:J16)</f>
        <v>#N/A</v>
      </c>
    </row>
    <row r="17" spans="1:14" x14ac:dyDescent="0.3">
      <c r="A17" s="4">
        <v>7</v>
      </c>
      <c r="B17" s="5">
        <f t="shared" si="0"/>
        <v>9654893846.0563145</v>
      </c>
      <c r="C17" s="5"/>
      <c r="D17" s="5"/>
      <c r="E17" s="5"/>
      <c r="F17"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7" s="5">
        <f>$C$6*LeInitialSizingTable[[#This Row],[Final mass]]</f>
        <v>965489384.60563147</v>
      </c>
      <c r="H17" s="5">
        <f>($C$5*(LeInitialSizingTable[[#This Row],[Stage dry mass]]+LeInitialSizingTable[[#This Row],[Final mass]]))/(1-$C$5)</f>
        <v>95583449075.957535</v>
      </c>
      <c r="I17" s="5">
        <f>LeInitialSizingTable[[#This Row],[Propellant mass]] + LeInitialSizingTable[[#This Row],[Stage dry mass]]</f>
        <v>96548938460.563171</v>
      </c>
      <c r="J17" s="5" t="e">
        <f>9.81*LeInitialSizingTable[[#This Row],[Specific impulse]]*LN(LeInitialSizingTable[[#This Row],[Wet mass]]/(LeInitialSizingTable[[#This Row],[Stage dry mass]]+LeInitialSizingTable[[#This Row],[Final mass]]))</f>
        <v>#N/A</v>
      </c>
      <c r="K17" s="11"/>
      <c r="L17" s="5" t="e">
        <f>9.81*LeInitialSizingTable[[#This Row],[Specific impulse]]*(LeInitialSizingTable[[#This Row],[Propellant mass]]/LeInitialSizingTable[[#This Row],[Burn time]])</f>
        <v>#N/A</v>
      </c>
      <c r="M17" s="5" t="e">
        <f>LeInitialSizingTable[[#This Row],[Thrust]]*LeInitialSizingTable[[#This Row],[Burn time]]</f>
        <v>#N/A</v>
      </c>
      <c r="N17" s="6" t="e">
        <f>SUM($J$11:J17)</f>
        <v>#N/A</v>
      </c>
    </row>
    <row r="18" spans="1:14" x14ac:dyDescent="0.3">
      <c r="A18" s="4">
        <v>8</v>
      </c>
      <c r="B18" s="5">
        <f t="shared" si="0"/>
        <v>96548938460.563171</v>
      </c>
      <c r="C18" s="5"/>
      <c r="D18" s="5"/>
      <c r="E18" s="5"/>
      <c r="F18"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8" s="5">
        <f>$C$6*LeInitialSizingTable[[#This Row],[Final mass]]</f>
        <v>9654893846.0563183</v>
      </c>
      <c r="H18" s="5">
        <f>($C$5*(LeInitialSizingTable[[#This Row],[Stage dry mass]]+LeInitialSizingTable[[#This Row],[Final mass]]))/(1-$C$5)</f>
        <v>955834490759.57568</v>
      </c>
      <c r="I18" s="5">
        <f>LeInitialSizingTable[[#This Row],[Propellant mass]] + LeInitialSizingTable[[#This Row],[Stage dry mass]]</f>
        <v>965489384605.63196</v>
      </c>
      <c r="J18" s="5" t="e">
        <f>9.81*LeInitialSizingTable[[#This Row],[Specific impulse]]*LN(LeInitialSizingTable[[#This Row],[Wet mass]]/(LeInitialSizingTable[[#This Row],[Stage dry mass]]+LeInitialSizingTable[[#This Row],[Final mass]]))</f>
        <v>#N/A</v>
      </c>
      <c r="K18" s="11"/>
      <c r="L18" s="5" t="e">
        <f>9.81*LeInitialSizingTable[[#This Row],[Specific impulse]]*(LeInitialSizingTable[[#This Row],[Propellant mass]]/LeInitialSizingTable[[#This Row],[Burn time]])</f>
        <v>#N/A</v>
      </c>
      <c r="M18" s="5" t="e">
        <f>LeInitialSizingTable[[#This Row],[Thrust]]*LeInitialSizingTable[[#This Row],[Burn time]]</f>
        <v>#N/A</v>
      </c>
      <c r="N18" s="6" t="e">
        <f>SUM($J$11:J18)</f>
        <v>#N/A</v>
      </c>
    </row>
    <row r="19" spans="1:14" x14ac:dyDescent="0.3">
      <c r="A19" s="4">
        <v>9</v>
      </c>
      <c r="B19" s="5">
        <f t="shared" si="0"/>
        <v>965489384605.63196</v>
      </c>
      <c r="C19" s="5"/>
      <c r="D19" s="5"/>
      <c r="E19" s="5"/>
      <c r="F19" s="5"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19" s="5">
        <f>$C$6*LeInitialSizingTable[[#This Row],[Final mass]]</f>
        <v>96548938460.563202</v>
      </c>
      <c r="H19" s="5">
        <f>($C$5*(LeInitialSizingTable[[#This Row],[Stage dry mass]]+LeInitialSizingTable[[#This Row],[Final mass]]))/(1-$C$5)</f>
        <v>9558344907595.7598</v>
      </c>
      <c r="I19" s="5">
        <f>LeInitialSizingTable[[#This Row],[Propellant mass]] + LeInitialSizingTable[[#This Row],[Stage dry mass]]</f>
        <v>9654893846056.3223</v>
      </c>
      <c r="J19" s="5" t="e">
        <f>9.81*LeInitialSizingTable[[#This Row],[Specific impulse]]*LN(LeInitialSizingTable[[#This Row],[Wet mass]]/(LeInitialSizingTable[[#This Row],[Stage dry mass]]+LeInitialSizingTable[[#This Row],[Final mass]]))</f>
        <v>#N/A</v>
      </c>
      <c r="K19" s="11"/>
      <c r="L19" s="5" t="e">
        <f>9.81*LeInitialSizingTable[[#This Row],[Specific impulse]]*(LeInitialSizingTable[[#This Row],[Propellant mass]]/LeInitialSizingTable[[#This Row],[Burn time]])</f>
        <v>#N/A</v>
      </c>
      <c r="M19" s="5" t="e">
        <f>LeInitialSizingTable[[#This Row],[Thrust]]*LeInitialSizingTable[[#This Row],[Burn time]]</f>
        <v>#N/A</v>
      </c>
      <c r="N19" s="6" t="e">
        <f>SUM($J$11:J19)</f>
        <v>#N/A</v>
      </c>
    </row>
    <row r="20" spans="1:14" x14ac:dyDescent="0.3">
      <c r="A20" s="7">
        <v>10</v>
      </c>
      <c r="B20" s="5">
        <f t="shared" si="0"/>
        <v>9654893846056.3223</v>
      </c>
      <c r="C20" s="5"/>
      <c r="D20" s="8"/>
      <c r="E20" s="8"/>
      <c r="F20" s="8" t="e">
        <f>IF(LeInitialSizingTable[[#This Row],[Fuel type?]] = "Solid", INDEX(IF(LeInitialSizingTable[[#This Row],[In vacuum?]] = "YES", TheDropdownMenuTable_InitialSizing[Isp (solid, vacuum)], TheDropdownMenuTable_InitialSizing[Isp (solid, SL)]), MATCH(LeInitialSizingTable[[#This Row],[Fuel]], TheDropdownMenuTable_InitialSizing[Fuel (solid)], 0)), IF(LeInitialSizingTable[[#This Row],[Fuel type?]] = "Liquid", INDEX(IF(LeInitialSizingTable[[#This Row],[In vacuum?]] = "YES", TheDropdownMenuTable_InitialSizing[Isp (liquid, vacuum)], TheDropdownMenuTable_InitialSizing[Isp (liquid, SL)]), MATCH(LeInitialSizingTable[[#This Row],[Fuel]], TheDropdownMenuTable_InitialSizing[Fuel (liquid)], 0)), INDEX(IF(LeInitialSizingTable[[#This Row],[In vacuum?]] = "YES", TheDropdownMenuTable_InitialSizing[Isp (IDFK, vacuum)], TheDropdownMenuTable_InitialSizing[Isp (IDFK, SL)]), MATCH(LeInitialSizingTable[[#This Row],[Fuel]], TheDropdownMenuTable_InitialSizing[Fuel (IDFK)], 0))))</f>
        <v>#N/A</v>
      </c>
      <c r="G20" s="5">
        <f>$C$6*LeInitialSizingTable[[#This Row],[Final mass]]</f>
        <v>965489384605.63232</v>
      </c>
      <c r="H20" s="5">
        <f>($C$5*(LeInitialSizingTable[[#This Row],[Stage dry mass]]+LeInitialSizingTable[[#This Row],[Final mass]]))/(1-$C$5)</f>
        <v>95583449075957.625</v>
      </c>
      <c r="I20" s="5">
        <f>LeInitialSizingTable[[#This Row],[Propellant mass]] + LeInitialSizingTable[[#This Row],[Stage dry mass]]</f>
        <v>96548938460563.25</v>
      </c>
      <c r="J20" s="8" t="e">
        <f>9.81*LeInitialSizingTable[[#This Row],[Specific impulse]]*LN(LeInitialSizingTable[[#This Row],[Wet mass]]/(LeInitialSizingTable[[#This Row],[Stage dry mass]]+LeInitialSizingTable[[#This Row],[Final mass]]))</f>
        <v>#N/A</v>
      </c>
      <c r="K20" s="12"/>
      <c r="L20" s="8" t="e">
        <f>9.81*LeInitialSizingTable[[#This Row],[Specific impulse]]*(LeInitialSizingTable[[#This Row],[Propellant mass]]/LeInitialSizingTable[[#This Row],[Burn time]])</f>
        <v>#N/A</v>
      </c>
      <c r="M20" s="8" t="e">
        <f>LeInitialSizingTable[[#This Row],[Thrust]]*LeInitialSizingTable[[#This Row],[Burn time]]</f>
        <v>#N/A</v>
      </c>
      <c r="N20" s="9" t="e">
        <f>SUM($J$11:J20)</f>
        <v>#N/A</v>
      </c>
    </row>
    <row r="21" spans="1:14" x14ac:dyDescent="0.3">
      <c r="F21" s="44"/>
      <c r="G21" s="44"/>
      <c r="H21" s="44"/>
      <c r="I21" s="44"/>
      <c r="J21" s="44"/>
      <c r="K21" s="44"/>
      <c r="L21" s="44"/>
      <c r="M21" s="44"/>
      <c r="N21" s="44"/>
    </row>
    <row r="23" spans="1:14" x14ac:dyDescent="0.3">
      <c r="G23" s="38" t="s">
        <v>169</v>
      </c>
      <c r="I23" t="e" cm="1" vm="3">
        <f t="array" ref="I23">_xlfn._xlws.PY(8,1,LeInitialSizingTable[#All])</f>
        <v>#VALUE!</v>
      </c>
    </row>
    <row r="24" spans="1:14" x14ac:dyDescent="0.3">
      <c r="F24" s="60" t="s">
        <v>125</v>
      </c>
      <c r="G24" s="60"/>
      <c r="H24" s="60"/>
    </row>
    <row r="25" spans="1:14" x14ac:dyDescent="0.3">
      <c r="F25" s="5" t="s">
        <v>35</v>
      </c>
      <c r="G25" s="5" cm="1">
        <f t="array" ref="G25">_xlfn._xlws.PY(9,0,'Data Input'!$C$7)</f>
        <v>3</v>
      </c>
      <c r="H25" s="5" t="s">
        <v>37</v>
      </c>
    </row>
    <row r="26" spans="1:14" x14ac:dyDescent="0.3">
      <c r="F26" s="5" t="s">
        <v>172</v>
      </c>
      <c r="G26" s="5" cm="1">
        <f t="array" ref="G26">_xlfn._xlws.PY(10,0,$G$25)</f>
        <v>17532.765389947024</v>
      </c>
      <c r="H26" s="5" t="s">
        <v>38</v>
      </c>
    </row>
    <row r="27" spans="1:14" ht="14.4" customHeight="1" x14ac:dyDescent="0.3">
      <c r="F27" s="5" t="s">
        <v>42</v>
      </c>
      <c r="G27" s="5" cm="1">
        <f t="array" ref="G27">_xlfn._xlws.PY(11,0,$G$25)</f>
        <v>107169.32169122499</v>
      </c>
      <c r="H27" s="5" t="s">
        <v>39</v>
      </c>
    </row>
    <row r="28" spans="1:14" ht="14.4" customHeight="1" x14ac:dyDescent="0.3">
      <c r="F28" s="5" t="s">
        <v>149</v>
      </c>
      <c r="G28" s="5" cm="1">
        <f t="array" ref="G28">_xlfn._xlws.PY(12,0,$G$25)</f>
        <v>10716932.1691225</v>
      </c>
      <c r="H28" s="5" t="s">
        <v>39</v>
      </c>
    </row>
    <row r="29" spans="1:14" x14ac:dyDescent="0.3">
      <c r="F29" s="5" t="s">
        <v>163</v>
      </c>
      <c r="G29" s="5" t="str" cm="1">
        <f t="array" ref="G29">_xlfn._xlws.PY(13,0,$G$26,'Data Input'!$F$32)</f>
        <v>Yes! OwO</v>
      </c>
      <c r="H29" s="5" t="s">
        <v>116</v>
      </c>
    </row>
    <row r="30" spans="1:14" x14ac:dyDescent="0.3">
      <c r="F30" s="5" t="s">
        <v>164</v>
      </c>
      <c r="G30" s="5" t="str" cm="1">
        <f t="array" ref="G30">_xlfn._xlws.PY(13,0,$G$26,'Data Input'!$F$33)</f>
        <v>No... T_T</v>
      </c>
      <c r="H30" s="5" t="s">
        <v>116</v>
      </c>
    </row>
    <row r="31" spans="1:14" ht="25.8" x14ac:dyDescent="0.3">
      <c r="C31" s="40"/>
      <c r="F31" s="5" t="s">
        <v>170</v>
      </c>
      <c r="G31" s="5" t="s">
        <v>20</v>
      </c>
      <c r="H31" s="5" t="s">
        <v>116</v>
      </c>
    </row>
    <row r="32" spans="1:14" ht="25.8" x14ac:dyDescent="0.3">
      <c r="A32" s="40"/>
      <c r="B32" s="40"/>
      <c r="C32" s="40"/>
      <c r="F32" s="5" t="s">
        <v>171</v>
      </c>
      <c r="G32" s="5" cm="1">
        <f t="array" ref="G32">_xlfn._xlws.PY(14,0,$G$26,$G$31,$C$5,$C$6,'Data Input'!$F$32,'Data Input'!$F$33,'Data Input'!$C$7,'Data Input'!$C$7)</f>
        <v>25280.940689105093</v>
      </c>
      <c r="H32" s="5" t="s">
        <v>38</v>
      </c>
    </row>
    <row r="33" spans="1:11" x14ac:dyDescent="0.3">
      <c r="F33" s="5" t="s">
        <v>163</v>
      </c>
      <c r="G33" s="5" t="str" cm="1">
        <f t="array" ref="G33">_xlfn._xlws.PY(13,0,$G$32,'Data Input'!$F$32)</f>
        <v>Yes! OwO</v>
      </c>
      <c r="H33" s="5" t="s">
        <v>116</v>
      </c>
    </row>
    <row r="34" spans="1:11" x14ac:dyDescent="0.3">
      <c r="F34" s="5" t="s">
        <v>164</v>
      </c>
      <c r="G34" s="5" t="str" cm="1">
        <f t="array" ref="G34">_xlfn._xlws.PY(13,0,$G$32,'Data Input'!$F$33)</f>
        <v>Yes! OwO</v>
      </c>
      <c r="H34" s="5" t="s">
        <v>116</v>
      </c>
    </row>
    <row r="36" spans="1:11" ht="25.8" x14ac:dyDescent="0.3">
      <c r="A36" s="59" t="s">
        <v>40</v>
      </c>
      <c r="B36" s="59"/>
    </row>
    <row r="38" spans="1:11" x14ac:dyDescent="0.3">
      <c r="A38" t="s">
        <v>246</v>
      </c>
    </row>
    <row r="40" spans="1:11" x14ac:dyDescent="0.3">
      <c r="A40" s="24" t="s">
        <v>19</v>
      </c>
      <c r="B40" s="25" t="s">
        <v>4</v>
      </c>
      <c r="C40" s="25" t="s">
        <v>5</v>
      </c>
      <c r="D40" s="25" t="s">
        <v>22</v>
      </c>
      <c r="E40" s="25" t="s">
        <v>23</v>
      </c>
      <c r="F40" s="25" t="s">
        <v>6</v>
      </c>
      <c r="G40" s="25" t="s">
        <v>24</v>
      </c>
      <c r="H40" s="25" t="s">
        <v>25</v>
      </c>
      <c r="I40" s="25" t="s">
        <v>12</v>
      </c>
      <c r="J40" s="25" t="s">
        <v>26</v>
      </c>
      <c r="K40" s="26" t="s">
        <v>27</v>
      </c>
    </row>
    <row r="41" spans="1:11" x14ac:dyDescent="0.3">
      <c r="A41" s="45" t="s">
        <v>20</v>
      </c>
      <c r="B41" s="43" t="s">
        <v>7</v>
      </c>
      <c r="C41" s="43" t="s">
        <v>10</v>
      </c>
      <c r="D41" s="43">
        <f>1.5*TheDropdownMenuTable_InitialSizing[[#This Row],[Isp (solid, SL)]]</f>
        <v>330.9</v>
      </c>
      <c r="E41" s="43">
        <f>AVERAGE(220, 220, 220, 203, 240)</f>
        <v>220.6</v>
      </c>
      <c r="F41" s="43" t="s">
        <v>31</v>
      </c>
      <c r="G41" s="43">
        <v>454.84199999999998</v>
      </c>
      <c r="H41" s="43">
        <v>388.78694999999999</v>
      </c>
      <c r="I41" s="43" t="s">
        <v>13</v>
      </c>
      <c r="J41" s="43">
        <f>1.5*TheDropdownMenuTable_InitialSizing[[#This Row],[Isp (IDFK, SL)]]</f>
        <v>315</v>
      </c>
      <c r="K41" s="46">
        <v>210</v>
      </c>
    </row>
    <row r="42" spans="1:11" x14ac:dyDescent="0.3">
      <c r="A42" s="45" t="s">
        <v>21</v>
      </c>
      <c r="B42" s="43" t="s">
        <v>8</v>
      </c>
      <c r="C42" s="43" t="s">
        <v>9</v>
      </c>
      <c r="D42" s="43">
        <f>1.5*TheDropdownMenuTable_InitialSizing[[#This Row],[Isp (solid, SL)]]</f>
        <v>244.12199999999999</v>
      </c>
      <c r="E42" s="43">
        <v>162.74799999999999</v>
      </c>
      <c r="F42" s="43" t="s">
        <v>30</v>
      </c>
      <c r="G42" s="43">
        <v>368.50157999999999</v>
      </c>
      <c r="H42" s="43">
        <v>309.27625</v>
      </c>
      <c r="I42" s="43" t="s">
        <v>64</v>
      </c>
      <c r="J42" s="43">
        <f>1.5*TheDropdownMenuTable_InitialSizing[[#This Row],[Isp (IDFK, SL)]]</f>
        <v>337.5</v>
      </c>
      <c r="K42" s="46">
        <v>225</v>
      </c>
    </row>
    <row r="43" spans="1:11" ht="28.8" x14ac:dyDescent="0.3">
      <c r="A43" s="45"/>
      <c r="B43" s="43" t="s">
        <v>11</v>
      </c>
      <c r="C43" s="42" t="s">
        <v>220</v>
      </c>
      <c r="D43" s="43">
        <f>1.5*TheDropdownMenuTable_InitialSizing[[#This Row],[Isp (solid, SL)]]</f>
        <v>393</v>
      </c>
      <c r="E43" s="43">
        <v>262</v>
      </c>
      <c r="F43" s="43" t="s">
        <v>32</v>
      </c>
      <c r="G43" s="43">
        <v>357.79817000000003</v>
      </c>
      <c r="H43" s="43">
        <v>299.79613000000001</v>
      </c>
      <c r="I43" s="43" t="s">
        <v>65</v>
      </c>
      <c r="J43" s="43">
        <f>1.5*TheDropdownMenuTable_InitialSizing[[#This Row],[Isp (IDFK, SL)]]</f>
        <v>576</v>
      </c>
      <c r="K43" s="46">
        <v>384</v>
      </c>
    </row>
    <row r="44" spans="1:11" ht="28.8" x14ac:dyDescent="0.3">
      <c r="A44" s="45"/>
      <c r="B44" s="43"/>
      <c r="C44" s="42" t="s">
        <v>219</v>
      </c>
      <c r="D44" s="43">
        <f>1.5*TheDropdownMenuTable_InitialSizing[[#This Row],[Isp (solid, SL)]]</f>
        <v>399</v>
      </c>
      <c r="E44" s="43">
        <v>266</v>
      </c>
      <c r="F44" s="43" t="s">
        <v>67</v>
      </c>
      <c r="G44" s="43">
        <v>341.38634000000002</v>
      </c>
      <c r="H44" s="43">
        <v>288.58308</v>
      </c>
      <c r="I44" s="43" t="s">
        <v>247</v>
      </c>
      <c r="J44" s="84">
        <v>316</v>
      </c>
      <c r="K44" s="85">
        <f>(2*TheDropdownMenuTable_InitialSizing[[#This Row],[Isp (IDFK, vacuum)]])/3</f>
        <v>210.66666666666666</v>
      </c>
    </row>
    <row r="45" spans="1:11" x14ac:dyDescent="0.3">
      <c r="A45" s="45"/>
      <c r="B45" s="43"/>
      <c r="C45" s="43" t="s">
        <v>69</v>
      </c>
      <c r="D45" s="43">
        <f>1.5*TheDropdownMenuTable_InitialSizing[[#This Row],[Isp (solid, SL)]]</f>
        <v>116.25</v>
      </c>
      <c r="E45" s="43">
        <v>77.5</v>
      </c>
      <c r="F45" s="43" t="s">
        <v>68</v>
      </c>
      <c r="G45" s="43">
        <v>333</v>
      </c>
      <c r="H45" s="43">
        <v>285</v>
      </c>
      <c r="I45" s="43"/>
      <c r="J45" s="43"/>
      <c r="K45" s="46"/>
    </row>
    <row r="46" spans="1:11" x14ac:dyDescent="0.3">
      <c r="A46" s="45"/>
      <c r="B46" s="43"/>
      <c r="C46" s="43"/>
      <c r="D46" s="43"/>
      <c r="E46" s="43"/>
      <c r="F46" s="43" t="s">
        <v>33</v>
      </c>
      <c r="G46" s="43">
        <v>343.42507999999998</v>
      </c>
      <c r="H46" s="43">
        <v>291.74311999999998</v>
      </c>
      <c r="I46" s="43"/>
      <c r="J46" s="43"/>
      <c r="K46" s="46"/>
    </row>
    <row r="47" spans="1:11" x14ac:dyDescent="0.3">
      <c r="A47" s="45"/>
      <c r="B47" s="43"/>
      <c r="C47" s="43"/>
      <c r="D47" s="43"/>
      <c r="E47" s="43"/>
      <c r="F47" s="43" t="s">
        <v>66</v>
      </c>
      <c r="G47" s="43">
        <v>341.18247000000002</v>
      </c>
      <c r="H47" s="43">
        <v>288.17532999999997</v>
      </c>
      <c r="I47" s="43"/>
      <c r="J47" s="43"/>
      <c r="K47" s="46"/>
    </row>
    <row r="48" spans="1:11" x14ac:dyDescent="0.3">
      <c r="A48" s="45"/>
      <c r="B48" s="43"/>
      <c r="C48" s="43"/>
      <c r="D48" s="43"/>
      <c r="E48" s="43"/>
      <c r="F48" s="43"/>
      <c r="G48" s="43"/>
      <c r="H48" s="43"/>
      <c r="I48" s="43"/>
      <c r="J48" s="43"/>
      <c r="K48" s="46"/>
    </row>
    <row r="49" spans="1:11" x14ac:dyDescent="0.3">
      <c r="A49" s="45"/>
      <c r="B49" s="43"/>
      <c r="C49" s="43"/>
      <c r="D49" s="43"/>
      <c r="E49" s="43"/>
      <c r="F49" s="43"/>
      <c r="G49" s="43"/>
      <c r="H49" s="43"/>
      <c r="I49" s="43"/>
      <c r="J49" s="43"/>
      <c r="K49" s="46"/>
    </row>
    <row r="50" spans="1:11" x14ac:dyDescent="0.3">
      <c r="A50" s="47"/>
      <c r="B50" s="48"/>
      <c r="C50" s="48"/>
      <c r="D50" s="48"/>
      <c r="E50" s="48"/>
      <c r="F50" s="48"/>
      <c r="G50" s="48"/>
      <c r="H50" s="48"/>
      <c r="I50" s="48"/>
      <c r="J50" s="48"/>
      <c r="K50" s="49"/>
    </row>
    <row r="52" spans="1:11" x14ac:dyDescent="0.3">
      <c r="B52" s="61" t="s">
        <v>205</v>
      </c>
      <c r="C52" s="61"/>
      <c r="D52" s="61"/>
    </row>
    <row r="53" spans="1:11" x14ac:dyDescent="0.3">
      <c r="B53" s="1" t="s">
        <v>201</v>
      </c>
      <c r="C53" s="2" t="s">
        <v>202</v>
      </c>
      <c r="D53" s="3" t="s">
        <v>203</v>
      </c>
    </row>
    <row r="54" spans="1:11" x14ac:dyDescent="0.3">
      <c r="B54" s="4" t="s">
        <v>10</v>
      </c>
      <c r="C54" s="5">
        <v>32</v>
      </c>
      <c r="D54" s="6">
        <v>68</v>
      </c>
    </row>
    <row r="55" spans="1:11" x14ac:dyDescent="0.3">
      <c r="B55" s="4" t="s">
        <v>9</v>
      </c>
      <c r="C55" s="5">
        <v>17</v>
      </c>
      <c r="D55" s="6">
        <v>25</v>
      </c>
    </row>
    <row r="56" spans="1:11" x14ac:dyDescent="0.3">
      <c r="B56" s="4" t="s">
        <v>63</v>
      </c>
      <c r="C56" s="5">
        <v>3</v>
      </c>
      <c r="D56" s="6">
        <v>7</v>
      </c>
    </row>
    <row r="57" spans="1:11" x14ac:dyDescent="0.3">
      <c r="B57" s="4" t="s">
        <v>69</v>
      </c>
      <c r="C57" s="5">
        <v>11</v>
      </c>
      <c r="D57" s="6">
        <v>10</v>
      </c>
    </row>
    <row r="58" spans="1:11" x14ac:dyDescent="0.3">
      <c r="B58" s="4" t="s">
        <v>31</v>
      </c>
      <c r="C58" s="5">
        <v>2</v>
      </c>
      <c r="D58" s="6">
        <v>1</v>
      </c>
    </row>
    <row r="59" spans="1:11" x14ac:dyDescent="0.3">
      <c r="B59" s="4" t="s">
        <v>30</v>
      </c>
      <c r="C59" s="5">
        <v>1</v>
      </c>
      <c r="D59" s="6">
        <v>2</v>
      </c>
    </row>
    <row r="60" spans="1:11" x14ac:dyDescent="0.3">
      <c r="B60" s="4" t="s">
        <v>32</v>
      </c>
      <c r="C60" s="5">
        <v>1</v>
      </c>
      <c r="D60" s="6">
        <v>2.56</v>
      </c>
    </row>
    <row r="61" spans="1:11" x14ac:dyDescent="0.3">
      <c r="B61" s="4" t="s">
        <v>204</v>
      </c>
      <c r="C61" s="5">
        <v>1</v>
      </c>
      <c r="D61" s="6">
        <v>2</v>
      </c>
    </row>
    <row r="62" spans="1:11" x14ac:dyDescent="0.3">
      <c r="B62" s="4" t="s">
        <v>68</v>
      </c>
      <c r="C62" s="5">
        <v>1</v>
      </c>
      <c r="D62" s="6">
        <v>1.34</v>
      </c>
    </row>
    <row r="63" spans="1:11" x14ac:dyDescent="0.3">
      <c r="B63" s="4" t="s">
        <v>33</v>
      </c>
      <c r="C63" s="5">
        <v>2</v>
      </c>
      <c r="D63" s="6">
        <v>1</v>
      </c>
    </row>
    <row r="64" spans="1:11" x14ac:dyDescent="0.3">
      <c r="B64" s="4" t="s">
        <v>66</v>
      </c>
      <c r="C64" s="5">
        <v>1</v>
      </c>
      <c r="D64" s="6">
        <v>1.65</v>
      </c>
    </row>
    <row r="65" spans="2:4" x14ac:dyDescent="0.3">
      <c r="B65" s="4" t="s">
        <v>13</v>
      </c>
      <c r="C65" s="5">
        <v>2</v>
      </c>
      <c r="D65" s="6">
        <v>3</v>
      </c>
    </row>
    <row r="66" spans="2:4" x14ac:dyDescent="0.3">
      <c r="B66" s="4" t="s">
        <v>64</v>
      </c>
      <c r="C66" s="5">
        <v>7</v>
      </c>
      <c r="D66" s="6">
        <v>3</v>
      </c>
    </row>
    <row r="67" spans="2:4" x14ac:dyDescent="0.3">
      <c r="B67" s="7" t="s">
        <v>65</v>
      </c>
      <c r="C67" s="8">
        <v>1</v>
      </c>
      <c r="D67" s="9">
        <v>2</v>
      </c>
    </row>
    <row r="69" spans="2:4" x14ac:dyDescent="0.3">
      <c r="B69" t="s">
        <v>221</v>
      </c>
    </row>
    <row r="70" spans="2:4" x14ac:dyDescent="0.3">
      <c r="B70" s="58" t="s">
        <v>218</v>
      </c>
    </row>
    <row r="71" spans="2:4" x14ac:dyDescent="0.3">
      <c r="B71" s="58" t="s">
        <v>222</v>
      </c>
    </row>
  </sheetData>
  <mergeCells count="4">
    <mergeCell ref="A36:B36"/>
    <mergeCell ref="A1:B2"/>
    <mergeCell ref="F24:H24"/>
    <mergeCell ref="B52:D52"/>
  </mergeCells>
  <phoneticPr fontId="2" type="noConversion"/>
  <dataValidations count="4">
    <dataValidation type="list" allowBlank="1" showInputMessage="1" showErrorMessage="1" errorTitle="WTF" error="What are you doing? Insert valid data!" promptTitle="Fuel type" prompt="Please select fuel type" sqref="D11:D20" xr:uid="{75774DDE-7B63-4B96-895A-4AEB3A1915AC}">
      <formula1>$B$41:$B$43</formula1>
    </dataValidation>
    <dataValidation type="list" allowBlank="1" showInputMessage="1" showErrorMessage="1" errorTitle="Huh?" error="Did you input that correctly? Insert valid data" promptTitle="Can haz vacuum?" prompt="Please input stage condition in use" sqref="C11:C20" xr:uid="{B85ED1B4-F14F-489F-B136-53C345B9CC66}">
      <formula1>$A$41:$A$42</formula1>
    </dataValidation>
    <dataValidation type="list" allowBlank="1" showInputMessage="1" showErrorMessage="1" errorTitle="Huh?" error="Did you input that correctly? Insert valid data" promptTitle="Wanna optimise rocket?" prompt="Change this cell to activate the Python code to &quot;goal seek&quot; the rocket such that all delta-v requirements are met" sqref="G31" xr:uid="{FE49B061-2D2A-4848-A0E9-84581B614EE7}">
      <formula1>$A$41:$A$42</formula1>
    </dataValidation>
    <dataValidation type="list" allowBlank="1" showInputMessage="1" showErrorMessage="1" errorTitle="NOT AGAIN" error="What even?! Please insert valid data!" promptTitle="Fuel type 2: Electric Boogaloo" prompt="Please specify fuel type" sqref="E11:E20" xr:uid="{D3232489-5E3A-4360-884B-9C39225CAB94}">
      <formula1>IFERROR(_xlfn.SWITCH($D11, "Solid", $C$41:$C$50, "Liquid", $F$41:$F$50, "Some weird third thing", $I$41:$I$50), "")</formula1>
    </dataValidation>
  </dataValidations>
  <hyperlinks>
    <hyperlink ref="B70" r:id="rId1" xr:uid="{7ED0F5ED-0D64-479A-8B89-736242CAF90E}"/>
    <hyperlink ref="B71" r:id="rId2" xr:uid="{DDADE4BF-8B5A-4E7C-A741-0643BCFB0DDB}"/>
  </hyperlinks>
  <pageMargins left="0.7" right="0.7" top="0.75" bottom="0.75" header="0.3" footer="0.3"/>
  <legacyDrawing r:id="rId3"/>
  <tableParts count="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expression" priority="10" id="{BFA7F045-7B04-4578-862D-6FE5ACA842E0}">
            <xm:f>'Data Input'!$C$7 &lt; 2</xm:f>
            <x14:dxf>
              <font>
                <color theme="0"/>
              </font>
            </x14:dxf>
          </x14:cfRule>
          <xm:sqref>A12:B20 D12:N20</xm:sqref>
        </x14:conditionalFormatting>
        <x14:conditionalFormatting xmlns:xm="http://schemas.microsoft.com/office/excel/2006/main">
          <x14:cfRule type="expression" priority="9" id="{B7FE1704-5B36-4B72-959E-5FFDB77E36BA}">
            <xm:f>'Data Input'!$C$7 &lt; 3</xm:f>
            <x14:dxf>
              <font>
                <color theme="0"/>
              </font>
            </x14:dxf>
          </x14:cfRule>
          <xm:sqref>A13:B20 D13:N20</xm:sqref>
        </x14:conditionalFormatting>
        <x14:conditionalFormatting xmlns:xm="http://schemas.microsoft.com/office/excel/2006/main">
          <x14:cfRule type="expression" priority="8" id="{F763BEC8-2A60-416E-8FF5-218ED81F6E2F}">
            <xm:f>'Data Input'!$C$7 &lt; 4</xm:f>
            <x14:dxf>
              <font>
                <color theme="0"/>
              </font>
            </x14:dxf>
          </x14:cfRule>
          <xm:sqref>A14:B20 D14:N20</xm:sqref>
        </x14:conditionalFormatting>
        <x14:conditionalFormatting xmlns:xm="http://schemas.microsoft.com/office/excel/2006/main">
          <x14:cfRule type="expression" priority="7" id="{CD6E54D0-86D4-402F-9455-43FE6B6EEE6B}">
            <xm:f>'Data Input'!$C$7 &lt; 5</xm:f>
            <x14:dxf>
              <font>
                <color theme="0"/>
              </font>
            </x14:dxf>
          </x14:cfRule>
          <xm:sqref>A15:B20 D15:N20</xm:sqref>
        </x14:conditionalFormatting>
        <x14:conditionalFormatting xmlns:xm="http://schemas.microsoft.com/office/excel/2006/main">
          <x14:cfRule type="expression" priority="6" id="{685905CA-7FB5-48AF-9084-7E67849A660A}">
            <xm:f>'Data Input'!$C$7 &lt; 6</xm:f>
            <x14:dxf>
              <font>
                <color theme="0"/>
              </font>
            </x14:dxf>
          </x14:cfRule>
          <xm:sqref>A16:B20 D16:N20</xm:sqref>
        </x14:conditionalFormatting>
        <x14:conditionalFormatting xmlns:xm="http://schemas.microsoft.com/office/excel/2006/main">
          <x14:cfRule type="expression" priority="5" id="{82FCB063-5A79-454C-B9F1-3C4A825DD218}">
            <xm:f>'Data Input'!$C$7 &lt; 7</xm:f>
            <x14:dxf>
              <font>
                <color theme="0"/>
              </font>
            </x14:dxf>
          </x14:cfRule>
          <xm:sqref>A17:B20 D17:N20</xm:sqref>
        </x14:conditionalFormatting>
        <x14:conditionalFormatting xmlns:xm="http://schemas.microsoft.com/office/excel/2006/main">
          <x14:cfRule type="expression" priority="4" id="{D446DCEC-CE76-4845-B504-46415EC6D2E9}">
            <xm:f>'Data Input'!$C$7 &lt; 8</xm:f>
            <x14:dxf>
              <font>
                <color theme="0"/>
              </font>
            </x14:dxf>
          </x14:cfRule>
          <xm:sqref>A18:B20 D18:N20</xm:sqref>
        </x14:conditionalFormatting>
        <x14:conditionalFormatting xmlns:xm="http://schemas.microsoft.com/office/excel/2006/main">
          <x14:cfRule type="expression" priority="3" id="{4354CF35-CD25-434D-AE38-11C3CC645D19}">
            <xm:f>'Data Input'!$C$7 &lt; 9</xm:f>
            <x14:dxf>
              <font>
                <color theme="0"/>
              </font>
            </x14:dxf>
          </x14:cfRule>
          <xm:sqref>A19:B20 D19:N20</xm:sqref>
        </x14:conditionalFormatting>
        <x14:conditionalFormatting xmlns:xm="http://schemas.microsoft.com/office/excel/2006/main">
          <x14:cfRule type="expression" priority="2" id="{69848604-329B-4919-AC1A-B2AE58F4283E}">
            <xm:f>'Data Input'!$C$7 &lt; 10</xm:f>
            <x14:dxf>
              <font>
                <color theme="0"/>
              </font>
            </x14:dxf>
          </x14:cfRule>
          <xm:sqref>A20:B20 D20:N20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FC17A-FD1A-4B0E-B7EA-25C941E6F1E8}">
  <dimension ref="B2:O82"/>
  <sheetViews>
    <sheetView topLeftCell="A64" zoomScale="130" zoomScaleNormal="130" workbookViewId="0">
      <selection activeCell="G20" sqref="G20"/>
    </sheetView>
  </sheetViews>
  <sheetFormatPr defaultRowHeight="14.4" x14ac:dyDescent="0.3"/>
  <cols>
    <col min="2" max="2" width="14.109375" bestFit="1" customWidth="1"/>
    <col min="3" max="4" width="19.77734375" bestFit="1" customWidth="1"/>
    <col min="5" max="5" width="35.33203125" customWidth="1"/>
    <col min="6" max="6" width="14.44140625" bestFit="1" customWidth="1"/>
    <col min="7" max="7" width="19.109375" bestFit="1" customWidth="1"/>
  </cols>
  <sheetData>
    <row r="2" spans="2:7" x14ac:dyDescent="0.3">
      <c r="B2" s="59" t="s">
        <v>36</v>
      </c>
      <c r="C2" s="59"/>
    </row>
    <row r="3" spans="2:7" x14ac:dyDescent="0.3">
      <c r="B3" s="59"/>
      <c r="C3" s="59"/>
    </row>
    <row r="4" spans="2:7" x14ac:dyDescent="0.3">
      <c r="B4" s="83" t="s">
        <v>280</v>
      </c>
      <c r="C4" s="83"/>
      <c r="D4" s="83"/>
      <c r="E4" s="83"/>
      <c r="F4" s="83"/>
      <c r="G4" s="83"/>
    </row>
    <row r="6" spans="2:7" x14ac:dyDescent="0.3">
      <c r="B6" s="73" t="s">
        <v>224</v>
      </c>
      <c r="C6" s="74"/>
    </row>
    <row r="7" spans="2:7" x14ac:dyDescent="0.3">
      <c r="B7" s="77" t="s">
        <v>225</v>
      </c>
      <c r="C7" s="80">
        <f>'Data Input'!$C$7</f>
        <v>3</v>
      </c>
    </row>
    <row r="9" spans="2:7" x14ac:dyDescent="0.3">
      <c r="B9" s="73" t="s">
        <v>226</v>
      </c>
      <c r="C9" s="75"/>
      <c r="D9" s="74"/>
      <c r="F9" s="73" t="s">
        <v>234</v>
      </c>
      <c r="G9" s="74"/>
    </row>
    <row r="10" spans="2:7" x14ac:dyDescent="0.3">
      <c r="B10" s="93" t="s">
        <v>239</v>
      </c>
      <c r="C10" s="78" t="s">
        <v>240</v>
      </c>
      <c r="D10" s="94" t="s">
        <v>241</v>
      </c>
      <c r="F10" s="78" t="s">
        <v>239</v>
      </c>
      <c r="G10" s="78" t="s">
        <v>238</v>
      </c>
    </row>
    <row r="11" spans="2:7" x14ac:dyDescent="0.3">
      <c r="B11" s="77" t="s">
        <v>277</v>
      </c>
      <c r="C11" s="92"/>
      <c r="D11" s="88">
        <f>SUM($D$12:$D$22)</f>
        <v>25</v>
      </c>
      <c r="F11" s="77" t="s">
        <v>235</v>
      </c>
      <c r="G11" s="79"/>
    </row>
    <row r="12" spans="2:7" x14ac:dyDescent="0.3">
      <c r="B12" s="77" t="s">
        <v>278</v>
      </c>
      <c r="C12" s="77" t="s">
        <v>279</v>
      </c>
      <c r="D12" s="79">
        <v>4</v>
      </c>
      <c r="F12" s="77" t="s">
        <v>236</v>
      </c>
      <c r="G12" s="79"/>
    </row>
    <row r="13" spans="2:7" x14ac:dyDescent="0.3">
      <c r="C13" s="5">
        <v>1</v>
      </c>
      <c r="D13" s="79">
        <v>5</v>
      </c>
      <c r="F13" s="77" t="s">
        <v>3</v>
      </c>
      <c r="G13" s="79"/>
    </row>
    <row r="14" spans="2:7" x14ac:dyDescent="0.3">
      <c r="B14" s="82"/>
      <c r="C14" s="5">
        <v>2</v>
      </c>
      <c r="D14" s="79">
        <v>6</v>
      </c>
      <c r="F14" s="77" t="s">
        <v>237</v>
      </c>
      <c r="G14" s="79"/>
    </row>
    <row r="15" spans="2:7" x14ac:dyDescent="0.3">
      <c r="B15" s="82"/>
      <c r="C15" s="5">
        <v>3</v>
      </c>
      <c r="D15" s="79">
        <v>10</v>
      </c>
    </row>
    <row r="16" spans="2:7" x14ac:dyDescent="0.3">
      <c r="B16" s="82"/>
      <c r="C16" s="5">
        <v>4</v>
      </c>
      <c r="D16" s="79"/>
      <c r="F16" s="91" t="s">
        <v>242</v>
      </c>
      <c r="G16" s="91"/>
    </row>
    <row r="17" spans="2:7" x14ac:dyDescent="0.3">
      <c r="B17" s="82"/>
      <c r="C17" s="5">
        <v>5</v>
      </c>
      <c r="D17" s="79"/>
      <c r="F17" s="76" t="s">
        <v>243</v>
      </c>
      <c r="G17" s="81" t="s">
        <v>258</v>
      </c>
    </row>
    <row r="18" spans="2:7" x14ac:dyDescent="0.3">
      <c r="B18" s="82"/>
      <c r="C18" s="5">
        <v>6</v>
      </c>
      <c r="D18" s="79"/>
      <c r="F18" s="76" t="s">
        <v>244</v>
      </c>
      <c r="G18" s="81">
        <f>_xlfn.IFNA(VLOOKUP($G$17, $B$71:$D$80, 2), "")</f>
        <v>1189</v>
      </c>
    </row>
    <row r="19" spans="2:7" x14ac:dyDescent="0.3">
      <c r="B19" s="82"/>
      <c r="C19" s="5">
        <v>7</v>
      </c>
      <c r="D19" s="79"/>
      <c r="F19" s="76" t="s">
        <v>245</v>
      </c>
      <c r="G19" s="81">
        <f>_xlfn.IFNA(VLOOKUP($G$17, $B$71:$D$80, 3), "")</f>
        <v>841</v>
      </c>
    </row>
    <row r="20" spans="2:7" x14ac:dyDescent="0.3">
      <c r="B20" s="82"/>
      <c r="C20" s="5">
        <v>8</v>
      </c>
      <c r="D20" s="79"/>
      <c r="F20" s="76" t="s">
        <v>265</v>
      </c>
      <c r="G20" s="5"/>
    </row>
    <row r="21" spans="2:7" x14ac:dyDescent="0.3">
      <c r="B21" s="82"/>
      <c r="C21" s="5">
        <v>9</v>
      </c>
      <c r="D21" s="79"/>
      <c r="F21" s="76" t="s">
        <v>274</v>
      </c>
      <c r="G21" s="5" t="s">
        <v>275</v>
      </c>
    </row>
    <row r="22" spans="2:7" x14ac:dyDescent="0.3">
      <c r="B22" s="82"/>
      <c r="C22" s="5">
        <v>10</v>
      </c>
      <c r="D22" s="79"/>
    </row>
    <row r="23" spans="2:7" x14ac:dyDescent="0.3">
      <c r="B23" s="95" t="s">
        <v>227</v>
      </c>
      <c r="C23" s="95">
        <v>1</v>
      </c>
      <c r="D23" s="96"/>
    </row>
    <row r="24" spans="2:7" x14ac:dyDescent="0.3">
      <c r="B24" s="77"/>
      <c r="C24" s="77">
        <v>2</v>
      </c>
      <c r="D24" s="79"/>
    </row>
    <row r="25" spans="2:7" x14ac:dyDescent="0.3">
      <c r="B25" s="77"/>
      <c r="C25" s="77">
        <v>3</v>
      </c>
      <c r="D25" s="79"/>
    </row>
    <row r="26" spans="2:7" x14ac:dyDescent="0.3">
      <c r="B26" s="77"/>
      <c r="C26" s="77">
        <v>4</v>
      </c>
      <c r="D26" s="79"/>
    </row>
    <row r="27" spans="2:7" x14ac:dyDescent="0.3">
      <c r="B27" s="77"/>
      <c r="C27" s="77">
        <v>5</v>
      </c>
      <c r="D27" s="79"/>
    </row>
    <row r="28" spans="2:7" x14ac:dyDescent="0.3">
      <c r="B28" s="77"/>
      <c r="C28" s="77">
        <v>6</v>
      </c>
      <c r="D28" s="79"/>
    </row>
    <row r="29" spans="2:7" x14ac:dyDescent="0.3">
      <c r="B29" s="77"/>
      <c r="C29" s="77">
        <v>7</v>
      </c>
      <c r="D29" s="79"/>
    </row>
    <row r="30" spans="2:7" x14ac:dyDescent="0.3">
      <c r="B30" s="77"/>
      <c r="C30" s="77">
        <v>8</v>
      </c>
      <c r="D30" s="79"/>
    </row>
    <row r="31" spans="2:7" x14ac:dyDescent="0.3">
      <c r="B31" s="77"/>
      <c r="C31" s="77">
        <v>9</v>
      </c>
      <c r="D31" s="79"/>
    </row>
    <row r="32" spans="2:7" x14ac:dyDescent="0.3">
      <c r="B32" s="77"/>
      <c r="C32" s="77">
        <v>10</v>
      </c>
      <c r="D32" s="79"/>
    </row>
    <row r="33" spans="2:4" x14ac:dyDescent="0.3">
      <c r="B33" s="77" t="s">
        <v>201</v>
      </c>
      <c r="C33" s="77">
        <v>1</v>
      </c>
      <c r="D33" s="80" t="str">
        <f>IF(VLOOKUP($C33, 'Initial Sizing'!$A$11:$N$20, 4, TRUE) = 0, "", VLOOKUP($C33, 'Initial Sizing'!$A$11:$N$20, 4, TRUE))</f>
        <v>Solid</v>
      </c>
    </row>
    <row r="34" spans="2:4" x14ac:dyDescent="0.3">
      <c r="B34" s="77"/>
      <c r="C34" s="77">
        <v>2</v>
      </c>
      <c r="D34" s="80" t="str">
        <f>IF(VLOOKUP($C34, 'Initial Sizing'!$A$11:$N$20, 4, TRUE) = 0, "", VLOOKUP($C34, 'Initial Sizing'!$A$11:$N$20, 4, TRUE))</f>
        <v>Solid</v>
      </c>
    </row>
    <row r="35" spans="2:4" x14ac:dyDescent="0.3">
      <c r="B35" s="77"/>
      <c r="C35" s="77">
        <v>3</v>
      </c>
      <c r="D35" s="80" t="str">
        <f>IF(VLOOKUP($C35, 'Initial Sizing'!$A$11:$N$20, 4, TRUE) = 0, "", VLOOKUP($C35, 'Initial Sizing'!$A$11:$N$20, 4, TRUE))</f>
        <v>Liquid</v>
      </c>
    </row>
    <row r="36" spans="2:4" x14ac:dyDescent="0.3">
      <c r="B36" s="77"/>
      <c r="C36" s="77">
        <v>4</v>
      </c>
      <c r="D36" s="80" t="str">
        <f>IF(VLOOKUP($C36, 'Initial Sizing'!$A$11:$N$20, 4, TRUE) = 0, "", VLOOKUP($C36, 'Initial Sizing'!$A$11:$N$20, 4, TRUE))</f>
        <v/>
      </c>
    </row>
    <row r="37" spans="2:4" x14ac:dyDescent="0.3">
      <c r="B37" s="77"/>
      <c r="C37" s="77">
        <v>5</v>
      </c>
      <c r="D37" s="80" t="str">
        <f>IF(VLOOKUP($C37, 'Initial Sizing'!$A$11:$N$20, 4, TRUE) = 0, "", VLOOKUP($C37, 'Initial Sizing'!$A$11:$N$20, 4, TRUE))</f>
        <v/>
      </c>
    </row>
    <row r="38" spans="2:4" x14ac:dyDescent="0.3">
      <c r="B38" s="77"/>
      <c r="C38" s="77">
        <v>6</v>
      </c>
      <c r="D38" s="80" t="str">
        <f>IF(VLOOKUP($C38, 'Initial Sizing'!$A$11:$N$20, 4, TRUE) = 0, "", VLOOKUP($C38, 'Initial Sizing'!$A$11:$N$20, 4, TRUE))</f>
        <v/>
      </c>
    </row>
    <row r="39" spans="2:4" x14ac:dyDescent="0.3">
      <c r="B39" s="77"/>
      <c r="C39" s="77">
        <v>7</v>
      </c>
      <c r="D39" s="80" t="str">
        <f>IF(VLOOKUP($C39, 'Initial Sizing'!$A$11:$N$20, 4, TRUE) = 0, "", VLOOKUP($C39, 'Initial Sizing'!$A$11:$N$20, 4, TRUE))</f>
        <v/>
      </c>
    </row>
    <row r="40" spans="2:4" x14ac:dyDescent="0.3">
      <c r="B40" s="77"/>
      <c r="C40" s="77">
        <v>8</v>
      </c>
      <c r="D40" s="80" t="str">
        <f>IF(VLOOKUP($C40, 'Initial Sizing'!$A$11:$N$20, 4, TRUE) = 0, "", VLOOKUP($C40, 'Initial Sizing'!$A$11:$N$20, 4, TRUE))</f>
        <v/>
      </c>
    </row>
    <row r="41" spans="2:4" x14ac:dyDescent="0.3">
      <c r="B41" s="77"/>
      <c r="C41" s="77">
        <v>9</v>
      </c>
      <c r="D41" s="80" t="str">
        <f>IF(VLOOKUP($C41, 'Initial Sizing'!$A$11:$N$20, 4, TRUE) = 0, "", VLOOKUP($C41, 'Initial Sizing'!$A$11:$N$20, 4, TRUE))</f>
        <v/>
      </c>
    </row>
    <row r="42" spans="2:4" x14ac:dyDescent="0.3">
      <c r="B42" s="77"/>
      <c r="C42" s="77">
        <v>10</v>
      </c>
      <c r="D42" s="80" t="str">
        <f>IF(VLOOKUP($C42, 'Initial Sizing'!$A$11:$N$20, 4, TRUE) = 0, "", VLOOKUP($C42, 'Initial Sizing'!$A$11:$N$20, 4, TRUE))</f>
        <v/>
      </c>
    </row>
    <row r="43" spans="2:4" x14ac:dyDescent="0.3">
      <c r="B43" s="77" t="s">
        <v>233</v>
      </c>
      <c r="C43" s="77">
        <v>1</v>
      </c>
      <c r="D43" s="79">
        <v>1</v>
      </c>
    </row>
    <row r="44" spans="2:4" x14ac:dyDescent="0.3">
      <c r="B44" s="77"/>
      <c r="C44" s="77">
        <v>2</v>
      </c>
      <c r="D44" s="79">
        <v>2</v>
      </c>
    </row>
    <row r="45" spans="2:4" x14ac:dyDescent="0.3">
      <c r="B45" s="77"/>
      <c r="C45" s="77">
        <v>3</v>
      </c>
      <c r="D45" s="79">
        <v>5</v>
      </c>
    </row>
    <row r="46" spans="2:4" x14ac:dyDescent="0.3">
      <c r="B46" s="77"/>
      <c r="C46" s="77">
        <v>4</v>
      </c>
      <c r="D46" s="79"/>
    </row>
    <row r="47" spans="2:4" x14ac:dyDescent="0.3">
      <c r="B47" s="77"/>
      <c r="C47" s="77">
        <v>5</v>
      </c>
      <c r="D47" s="79"/>
    </row>
    <row r="48" spans="2:4" x14ac:dyDescent="0.3">
      <c r="B48" s="77"/>
      <c r="C48" s="77">
        <v>6</v>
      </c>
      <c r="D48" s="79"/>
    </row>
    <row r="49" spans="2:15" x14ac:dyDescent="0.3">
      <c r="B49" s="77"/>
      <c r="C49" s="77">
        <v>7</v>
      </c>
      <c r="D49" s="79"/>
    </row>
    <row r="50" spans="2:15" x14ac:dyDescent="0.3">
      <c r="B50" s="77"/>
      <c r="C50" s="77">
        <v>8</v>
      </c>
      <c r="D50" s="79"/>
    </row>
    <row r="51" spans="2:15" x14ac:dyDescent="0.3">
      <c r="B51" s="77"/>
      <c r="C51" s="77">
        <v>9</v>
      </c>
      <c r="D51" s="79"/>
    </row>
    <row r="52" spans="2:15" x14ac:dyDescent="0.3">
      <c r="B52" s="77"/>
      <c r="C52" s="77">
        <v>10</v>
      </c>
      <c r="D52" s="79"/>
    </row>
    <row r="53" spans="2:15" x14ac:dyDescent="0.3">
      <c r="B53" s="77" t="s">
        <v>228</v>
      </c>
      <c r="C53" s="77">
        <v>1</v>
      </c>
      <c r="D53" s="79" t="s">
        <v>248</v>
      </c>
    </row>
    <row r="54" spans="2:15" x14ac:dyDescent="0.3">
      <c r="B54" s="77"/>
      <c r="C54" s="77">
        <v>2</v>
      </c>
      <c r="D54" s="79" t="s">
        <v>253</v>
      </c>
    </row>
    <row r="55" spans="2:15" x14ac:dyDescent="0.3">
      <c r="B55" s="77"/>
      <c r="C55" s="77">
        <v>3</v>
      </c>
      <c r="D55" s="79" t="s">
        <v>252</v>
      </c>
    </row>
    <row r="56" spans="2:15" x14ac:dyDescent="0.3">
      <c r="B56" s="77"/>
      <c r="C56" s="77">
        <v>4</v>
      </c>
      <c r="D56" s="79"/>
    </row>
    <row r="57" spans="2:15" x14ac:dyDescent="0.3">
      <c r="B57" s="77"/>
      <c r="C57" s="77">
        <v>5</v>
      </c>
      <c r="D57" s="79"/>
    </row>
    <row r="58" spans="2:15" x14ac:dyDescent="0.3">
      <c r="B58" s="77"/>
      <c r="C58" s="77">
        <v>6</v>
      </c>
      <c r="D58" s="79"/>
    </row>
    <row r="59" spans="2:15" x14ac:dyDescent="0.3">
      <c r="B59" s="77"/>
      <c r="C59" s="77">
        <v>7</v>
      </c>
      <c r="D59" s="79"/>
    </row>
    <row r="60" spans="2:15" x14ac:dyDescent="0.3">
      <c r="B60" s="77"/>
      <c r="C60" s="77">
        <v>8</v>
      </c>
      <c r="D60" s="79"/>
    </row>
    <row r="61" spans="2:15" x14ac:dyDescent="0.3">
      <c r="B61" s="77"/>
      <c r="C61" s="77">
        <v>9</v>
      </c>
      <c r="D61" s="79"/>
    </row>
    <row r="62" spans="2:15" x14ac:dyDescent="0.3">
      <c r="B62" s="77"/>
      <c r="C62" s="77">
        <v>10</v>
      </c>
      <c r="D62" s="79"/>
      <c r="E62" s="86"/>
    </row>
    <row r="63" spans="2:15" x14ac:dyDescent="0.3">
      <c r="E63" s="34"/>
    </row>
    <row r="64" spans="2:15" x14ac:dyDescent="0.3">
      <c r="E64" s="87"/>
      <c r="F64" s="87"/>
      <c r="G64" s="87"/>
      <c r="H64" s="87"/>
      <c r="I64" s="87"/>
      <c r="J64" s="87"/>
      <c r="K64" s="72"/>
      <c r="L64" s="72"/>
      <c r="M64" s="72"/>
      <c r="N64" s="72"/>
      <c r="O64" s="72"/>
    </row>
    <row r="65" spans="2:15" x14ac:dyDescent="0.3">
      <c r="B65" s="77" t="s">
        <v>228</v>
      </c>
      <c r="C65" s="80" t="s">
        <v>250</v>
      </c>
      <c r="E65" s="72"/>
      <c r="F65" s="87"/>
      <c r="G65" s="87"/>
      <c r="H65" s="87"/>
      <c r="I65" s="87"/>
      <c r="J65" s="87"/>
      <c r="K65" s="87"/>
      <c r="L65" s="87"/>
      <c r="M65" s="72"/>
      <c r="N65" s="72"/>
      <c r="O65" s="72"/>
    </row>
    <row r="66" spans="2:15" x14ac:dyDescent="0.3">
      <c r="B66" s="5"/>
      <c r="C66" s="80" t="s">
        <v>249</v>
      </c>
      <c r="E66" s="72"/>
      <c r="F66" s="87"/>
      <c r="G66" s="87"/>
      <c r="H66" s="87"/>
      <c r="I66" s="87"/>
      <c r="J66" s="87"/>
      <c r="K66" s="87"/>
      <c r="L66" s="87"/>
      <c r="M66" s="72"/>
      <c r="N66" s="72"/>
      <c r="O66" s="72"/>
    </row>
    <row r="67" spans="2:15" x14ac:dyDescent="0.3">
      <c r="B67" s="5"/>
      <c r="C67" s="80" t="s">
        <v>252</v>
      </c>
      <c r="E67" s="72"/>
      <c r="F67" s="87"/>
      <c r="G67" s="87"/>
      <c r="H67" s="87"/>
      <c r="I67" s="87"/>
      <c r="J67" s="87"/>
      <c r="K67" s="87"/>
      <c r="L67" s="87"/>
      <c r="M67" s="72"/>
      <c r="N67" s="72"/>
      <c r="O67" s="72"/>
    </row>
    <row r="68" spans="2:15" x14ac:dyDescent="0.3">
      <c r="B68" s="5"/>
      <c r="C68" s="80" t="s">
        <v>253</v>
      </c>
      <c r="E68" s="72"/>
      <c r="F68" s="87"/>
      <c r="G68" s="87"/>
      <c r="H68" s="87"/>
      <c r="I68" s="87"/>
      <c r="J68" s="87"/>
      <c r="K68" s="87"/>
      <c r="L68" s="87"/>
      <c r="M68" s="72"/>
      <c r="N68" s="72"/>
      <c r="O68" s="72"/>
    </row>
    <row r="69" spans="2:15" x14ac:dyDescent="0.3">
      <c r="B69" s="5"/>
      <c r="C69" s="80" t="s">
        <v>251</v>
      </c>
      <c r="E69" s="72"/>
      <c r="F69" s="87"/>
      <c r="G69" s="87"/>
      <c r="H69" s="87"/>
      <c r="I69" s="87"/>
      <c r="J69" s="87"/>
      <c r="K69" s="87"/>
      <c r="L69" s="87"/>
      <c r="M69" s="72"/>
      <c r="N69" s="72"/>
      <c r="O69" s="72"/>
    </row>
    <row r="70" spans="2:15" x14ac:dyDescent="0.3">
      <c r="B70" s="8"/>
      <c r="C70" s="88" t="s">
        <v>248</v>
      </c>
      <c r="E70" s="72"/>
      <c r="F70" s="87"/>
      <c r="G70" s="87"/>
      <c r="H70" s="87"/>
      <c r="I70" s="87"/>
      <c r="J70" s="87"/>
      <c r="K70" s="87"/>
      <c r="L70" s="87"/>
      <c r="M70" s="72"/>
      <c r="N70" s="72"/>
      <c r="O70" s="72"/>
    </row>
    <row r="71" spans="2:15" x14ac:dyDescent="0.3">
      <c r="B71" s="78" t="s">
        <v>254</v>
      </c>
      <c r="C71" s="78" t="s">
        <v>255</v>
      </c>
      <c r="D71" s="78" t="s">
        <v>256</v>
      </c>
      <c r="E71" s="72"/>
      <c r="F71" s="72"/>
      <c r="G71" s="72"/>
      <c r="H71" s="72"/>
      <c r="I71" s="72"/>
      <c r="J71" s="72"/>
      <c r="K71" s="72"/>
      <c r="L71" s="72"/>
      <c r="M71" s="72"/>
      <c r="N71" s="72"/>
      <c r="O71" s="72"/>
    </row>
    <row r="72" spans="2:15" x14ac:dyDescent="0.3">
      <c r="B72" s="77" t="s">
        <v>266</v>
      </c>
      <c r="C72" s="89">
        <v>2378</v>
      </c>
      <c r="D72" s="89">
        <v>1682</v>
      </c>
      <c r="E72" s="72"/>
      <c r="F72" s="72"/>
      <c r="G72" s="72"/>
      <c r="H72" s="72"/>
      <c r="I72" s="72"/>
      <c r="J72" s="72"/>
      <c r="K72" s="72"/>
      <c r="L72" s="72"/>
      <c r="M72" s="72"/>
      <c r="N72" s="72"/>
      <c r="O72" s="72"/>
    </row>
    <row r="73" spans="2:15" x14ac:dyDescent="0.3">
      <c r="B73" s="77" t="s">
        <v>257</v>
      </c>
      <c r="C73" s="90">
        <v>1682</v>
      </c>
      <c r="D73" s="90">
        <v>1189</v>
      </c>
      <c r="E73" s="72"/>
      <c r="F73" s="72"/>
      <c r="G73" s="72"/>
      <c r="H73" s="72"/>
      <c r="I73" s="72"/>
      <c r="J73" s="72"/>
      <c r="K73" s="72"/>
      <c r="L73" s="72"/>
      <c r="M73" s="72"/>
      <c r="N73" s="72"/>
      <c r="O73" s="72"/>
    </row>
    <row r="74" spans="2:15" x14ac:dyDescent="0.3">
      <c r="B74" s="77" t="s">
        <v>258</v>
      </c>
      <c r="C74" s="90">
        <v>1189</v>
      </c>
      <c r="D74" s="90">
        <v>841</v>
      </c>
      <c r="E74" s="72"/>
      <c r="F74" s="72"/>
      <c r="G74" s="72"/>
      <c r="H74" s="72"/>
      <c r="I74" s="72"/>
      <c r="J74" s="72"/>
      <c r="K74" s="72"/>
      <c r="L74" s="72"/>
      <c r="M74" s="72"/>
      <c r="N74" s="72"/>
      <c r="O74" s="72"/>
    </row>
    <row r="75" spans="2:15" x14ac:dyDescent="0.3">
      <c r="B75" s="77" t="s">
        <v>259</v>
      </c>
      <c r="C75" s="90" t="s">
        <v>267</v>
      </c>
      <c r="D75" s="90">
        <v>594</v>
      </c>
    </row>
    <row r="76" spans="2:15" x14ac:dyDescent="0.3">
      <c r="B76" s="77" t="s">
        <v>260</v>
      </c>
      <c r="C76" s="90" t="s">
        <v>268</v>
      </c>
      <c r="D76" s="90">
        <v>420</v>
      </c>
    </row>
    <row r="77" spans="2:15" x14ac:dyDescent="0.3">
      <c r="B77" s="77" t="s">
        <v>261</v>
      </c>
      <c r="C77" s="90" t="s">
        <v>269</v>
      </c>
      <c r="D77" s="90">
        <v>297</v>
      </c>
    </row>
    <row r="78" spans="2:15" x14ac:dyDescent="0.3">
      <c r="B78" s="77" t="s">
        <v>262</v>
      </c>
      <c r="C78" s="90" t="s">
        <v>270</v>
      </c>
      <c r="D78" s="90">
        <v>210</v>
      </c>
    </row>
    <row r="79" spans="2:15" x14ac:dyDescent="0.3">
      <c r="B79" s="77" t="s">
        <v>263</v>
      </c>
      <c r="C79" s="90" t="s">
        <v>271</v>
      </c>
      <c r="D79" s="90">
        <v>148</v>
      </c>
    </row>
    <row r="80" spans="2:15" x14ac:dyDescent="0.3">
      <c r="B80" s="77" t="s">
        <v>264</v>
      </c>
      <c r="C80" s="90" t="s">
        <v>272</v>
      </c>
      <c r="D80" s="90">
        <v>105</v>
      </c>
    </row>
    <row r="81" spans="2:4" x14ac:dyDescent="0.3">
      <c r="B81" s="76" t="s">
        <v>274</v>
      </c>
      <c r="C81" s="90" t="s">
        <v>275</v>
      </c>
      <c r="D81" s="72"/>
    </row>
    <row r="82" spans="2:4" x14ac:dyDescent="0.3">
      <c r="B82" s="5"/>
      <c r="C82" s="90" t="s">
        <v>276</v>
      </c>
      <c r="D82" s="72"/>
    </row>
  </sheetData>
  <sortState xmlns:xlrd2="http://schemas.microsoft.com/office/spreadsheetml/2017/richdata2" ref="C65:C70">
    <sortCondition ref="C65:C70"/>
  </sortState>
  <mergeCells count="6">
    <mergeCell ref="F16:G16"/>
    <mergeCell ref="B6:C6"/>
    <mergeCell ref="B9:D9"/>
    <mergeCell ref="F9:G9"/>
    <mergeCell ref="B2:C3"/>
    <mergeCell ref="B4:G4"/>
  </mergeCells>
  <phoneticPr fontId="2" type="noConversion"/>
  <dataValidations count="3">
    <dataValidation type="list" allowBlank="1" showInputMessage="1" showErrorMessage="1" errorTitle="NOPE!" error="That option's not available! Select only from the ones provided. " promptTitle="How would you arrange them?" prompt="Select which engine configuration would you use for each stage. " sqref="D53:D62" xr:uid="{65A90F21-9893-4B25-97E3-C548A669CA53}">
      <formula1>_xlfn.SWITCH(MOD($D43, 2), 0, IF($D43 = 1, $C$70,$C$65:$C$68), 1, $C$65:$C$69)</formula1>
    </dataValidation>
    <dataValidation type="list" allowBlank="1" showInputMessage="1" showErrorMessage="1" sqref="G17" xr:uid="{5B62DBA2-7577-45F7-AFE9-F875891B19F6}">
      <formula1>$B$72:$B$80</formula1>
    </dataValidation>
    <dataValidation type="list" allowBlank="1" showInputMessage="1" showErrorMessage="1" sqref="G21" xr:uid="{1F827DD0-E19B-4FCC-87E9-645D7645B67D}">
      <formula1>$C$81:$C$82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C883-2FC4-4407-88C0-2A8836A4633C}">
  <dimension ref="A1:J22"/>
  <sheetViews>
    <sheetView workbookViewId="0">
      <selection activeCell="B28" sqref="B28"/>
    </sheetView>
  </sheetViews>
  <sheetFormatPr defaultRowHeight="14.4" x14ac:dyDescent="0.3"/>
  <cols>
    <col min="1" max="1" width="35.6640625" bestFit="1" customWidth="1"/>
    <col min="2" max="2" width="35.6640625" customWidth="1"/>
    <col min="5" max="5" width="16.33203125" bestFit="1" customWidth="1"/>
    <col min="6" max="6" width="16.77734375" bestFit="1" customWidth="1"/>
  </cols>
  <sheetData>
    <row r="1" spans="1:10" x14ac:dyDescent="0.3">
      <c r="A1" s="59" t="s">
        <v>36</v>
      </c>
      <c r="B1" s="59"/>
    </row>
    <row r="2" spans="1:10" x14ac:dyDescent="0.3">
      <c r="A2" s="59"/>
      <c r="B2" s="59"/>
    </row>
    <row r="3" spans="1:10" x14ac:dyDescent="0.3">
      <c r="A3" s="68" t="s">
        <v>189</v>
      </c>
      <c r="B3" s="68"/>
    </row>
    <row r="5" spans="1:10" x14ac:dyDescent="0.3">
      <c r="A5" s="50" t="s">
        <v>195</v>
      </c>
      <c r="B5" s="51" t="s">
        <v>196</v>
      </c>
      <c r="D5" t="s">
        <v>0</v>
      </c>
      <c r="E5" t="s">
        <v>198</v>
      </c>
      <c r="F5" t="s">
        <v>199</v>
      </c>
      <c r="G5" t="s">
        <v>200</v>
      </c>
      <c r="H5" t="s">
        <v>206</v>
      </c>
      <c r="I5" t="s">
        <v>200</v>
      </c>
      <c r="J5" t="s">
        <v>206</v>
      </c>
    </row>
    <row r="6" spans="1:10" x14ac:dyDescent="0.3">
      <c r="A6" s="4" t="s">
        <v>190</v>
      </c>
      <c r="B6" s="6">
        <f>'Initial Sizing'!$C$5</f>
        <v>0.9</v>
      </c>
      <c r="D6">
        <v>1</v>
      </c>
      <c r="E6" t="s">
        <v>207</v>
      </c>
      <c r="F6" t="s">
        <v>3</v>
      </c>
    </row>
    <row r="7" spans="1:10" x14ac:dyDescent="0.3">
      <c r="A7" s="4" t="s">
        <v>191</v>
      </c>
      <c r="B7" s="6">
        <f>'Initial Sizing'!$C$6</f>
        <v>0.1</v>
      </c>
      <c r="F7" t="s">
        <v>208</v>
      </c>
    </row>
    <row r="8" spans="1:10" x14ac:dyDescent="0.3">
      <c r="A8" s="4" t="s">
        <v>194</v>
      </c>
      <c r="B8" s="6">
        <f>'Initial Sizing'!$G$27</f>
        <v>107169.32169122499</v>
      </c>
      <c r="E8" t="s">
        <v>209</v>
      </c>
      <c r="F8" t="s">
        <v>210</v>
      </c>
    </row>
    <row r="9" spans="1:10" x14ac:dyDescent="0.3">
      <c r="A9" s="4" t="s">
        <v>193</v>
      </c>
      <c r="B9" s="6">
        <f>'Initial Sizing'!$G$28</f>
        <v>10716932.1691225</v>
      </c>
      <c r="F9" s="32" t="s">
        <v>211</v>
      </c>
    </row>
    <row r="10" spans="1:10" x14ac:dyDescent="0.3">
      <c r="A10" s="7" t="s">
        <v>192</v>
      </c>
      <c r="B10" s="9">
        <f>MAX('Initial Sizing'!$G$26, 'Initial Sizing'!$G$32)</f>
        <v>25280.940689105093</v>
      </c>
    </row>
    <row r="12" spans="1:10" x14ac:dyDescent="0.3">
      <c r="A12" s="52" t="s">
        <v>0</v>
      </c>
      <c r="B12" s="53" t="s">
        <v>197</v>
      </c>
    </row>
    <row r="13" spans="1:10" x14ac:dyDescent="0.3">
      <c r="A13" s="54">
        <v>1</v>
      </c>
      <c r="B13" s="56"/>
    </row>
    <row r="14" spans="1:10" x14ac:dyDescent="0.3">
      <c r="A14" s="54">
        <v>2</v>
      </c>
      <c r="B14" s="56"/>
    </row>
    <row r="15" spans="1:10" x14ac:dyDescent="0.3">
      <c r="A15" s="54">
        <v>3</v>
      </c>
      <c r="B15" s="56"/>
    </row>
    <row r="16" spans="1:10" x14ac:dyDescent="0.3">
      <c r="A16" s="54">
        <v>4</v>
      </c>
      <c r="B16" s="56"/>
    </row>
    <row r="17" spans="1:2" x14ac:dyDescent="0.3">
      <c r="A17" s="54">
        <v>5</v>
      </c>
      <c r="B17" s="56"/>
    </row>
    <row r="18" spans="1:2" x14ac:dyDescent="0.3">
      <c r="A18" s="54">
        <v>6</v>
      </c>
      <c r="B18" s="56"/>
    </row>
    <row r="19" spans="1:2" x14ac:dyDescent="0.3">
      <c r="A19" s="54">
        <v>7</v>
      </c>
      <c r="B19" s="56"/>
    </row>
    <row r="20" spans="1:2" x14ac:dyDescent="0.3">
      <c r="A20" s="54">
        <v>8</v>
      </c>
      <c r="B20" s="56"/>
    </row>
    <row r="21" spans="1:2" x14ac:dyDescent="0.3">
      <c r="A21" s="54">
        <v>9</v>
      </c>
      <c r="B21" s="56"/>
    </row>
    <row r="22" spans="1:2" x14ac:dyDescent="0.3">
      <c r="A22" s="55">
        <v>10</v>
      </c>
      <c r="B22" s="57"/>
    </row>
  </sheetData>
  <mergeCells count="2">
    <mergeCell ref="A1:B2"/>
    <mergeCell ref="A3:B3"/>
  </mergeCells>
  <pageMargins left="0.7" right="0.7" top="0.75" bottom="0.75" header="0.3" footer="0.3"/>
  <legacy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EF66-94E0-40B7-ABA4-DDB7F41E44FC}">
  <sheetPr codeName="Sheet3"/>
  <dimension ref="A2:H155"/>
  <sheetViews>
    <sheetView tabSelected="1" topLeftCell="A20" workbookViewId="0">
      <selection activeCell="A27" sqref="A27"/>
    </sheetView>
  </sheetViews>
  <sheetFormatPr defaultRowHeight="14.4" x14ac:dyDescent="0.3"/>
  <cols>
    <col min="1" max="1" width="21.109375" bestFit="1" customWidth="1"/>
    <col min="2" max="2" width="9.77734375" customWidth="1"/>
    <col min="3" max="4" width="37.21875" customWidth="1"/>
    <col min="7" max="7" width="37.21875" customWidth="1"/>
    <col min="8" max="8" width="73.6640625" customWidth="1"/>
  </cols>
  <sheetData>
    <row r="2" spans="1:8" ht="43.2" customHeight="1" x14ac:dyDescent="0.3">
      <c r="B2" s="59" t="s">
        <v>128</v>
      </c>
      <c r="C2" s="69"/>
    </row>
    <row r="3" spans="1:8" x14ac:dyDescent="0.3">
      <c r="A3" s="71" t="s">
        <v>129</v>
      </c>
      <c r="B3" s="71"/>
      <c r="C3" s="71"/>
      <c r="D3" s="71"/>
      <c r="E3" s="71"/>
      <c r="F3" s="71"/>
      <c r="G3" s="71"/>
      <c r="H3" s="71"/>
    </row>
    <row r="5" spans="1:8" x14ac:dyDescent="0.3">
      <c r="A5" s="24" t="s">
        <v>44</v>
      </c>
      <c r="B5" s="25" t="s">
        <v>47</v>
      </c>
      <c r="C5" s="25" t="s">
        <v>45</v>
      </c>
      <c r="D5" s="26" t="s">
        <v>46</v>
      </c>
    </row>
    <row r="6" spans="1:8" s="34" customFormat="1" ht="46.95" customHeight="1" x14ac:dyDescent="0.3">
      <c r="A6" s="15" t="s">
        <v>52</v>
      </c>
      <c r="B6" s="16" t="s">
        <v>51</v>
      </c>
      <c r="C6" s="27" t="s">
        <v>37</v>
      </c>
      <c r="D6" s="17" t="s">
        <v>53</v>
      </c>
      <c r="F6" s="70" t="s">
        <v>282</v>
      </c>
      <c r="G6" s="70"/>
      <c r="H6" s="70"/>
    </row>
    <row r="7" spans="1:8" ht="28.8" x14ac:dyDescent="0.3">
      <c r="A7" s="15" t="s">
        <v>55</v>
      </c>
      <c r="B7" s="16" t="s">
        <v>51</v>
      </c>
      <c r="C7" s="27" t="s">
        <v>37</v>
      </c>
      <c r="D7" s="17" t="s">
        <v>54</v>
      </c>
      <c r="F7" s="29" t="s">
        <v>48</v>
      </c>
      <c r="G7" s="30" t="s">
        <v>49</v>
      </c>
      <c r="H7" s="31" t="s">
        <v>50</v>
      </c>
    </row>
    <row r="8" spans="1:8" ht="42" customHeight="1" x14ac:dyDescent="0.3">
      <c r="A8" s="15" t="s">
        <v>60</v>
      </c>
      <c r="B8" s="16" t="s">
        <v>51</v>
      </c>
      <c r="C8" s="16" t="s">
        <v>59</v>
      </c>
      <c r="D8" s="28" t="s">
        <v>37</v>
      </c>
      <c r="F8" s="15" t="s">
        <v>186</v>
      </c>
      <c r="G8" s="16" t="s">
        <v>188</v>
      </c>
      <c r="H8" s="17" t="s">
        <v>187</v>
      </c>
    </row>
    <row r="9" spans="1:8" ht="42" customHeight="1" x14ac:dyDescent="0.3">
      <c r="A9" s="15" t="s">
        <v>61</v>
      </c>
      <c r="B9" s="16" t="s">
        <v>51</v>
      </c>
      <c r="C9" s="16" t="s">
        <v>62</v>
      </c>
      <c r="D9" s="28" t="s">
        <v>37</v>
      </c>
      <c r="F9" s="15" t="s">
        <v>160</v>
      </c>
      <c r="G9" s="16" t="s">
        <v>159</v>
      </c>
      <c r="H9" s="17" t="s">
        <v>56</v>
      </c>
    </row>
    <row r="10" spans="1:8" ht="42" customHeight="1" x14ac:dyDescent="0.3">
      <c r="A10" s="15" t="s">
        <v>71</v>
      </c>
      <c r="B10" s="16" t="s">
        <v>51</v>
      </c>
      <c r="C10" s="27" t="s">
        <v>37</v>
      </c>
      <c r="D10" s="17" t="s">
        <v>70</v>
      </c>
      <c r="F10" s="15" t="s">
        <v>180</v>
      </c>
      <c r="G10" s="16" t="s">
        <v>181</v>
      </c>
      <c r="H10" s="17" t="s">
        <v>182</v>
      </c>
    </row>
    <row r="11" spans="1:8" ht="42" customHeight="1" x14ac:dyDescent="0.3">
      <c r="A11" s="15" t="s">
        <v>72</v>
      </c>
      <c r="B11" s="16" t="s">
        <v>51</v>
      </c>
      <c r="C11" s="16" t="s">
        <v>73</v>
      </c>
      <c r="D11" s="27" t="s">
        <v>37</v>
      </c>
      <c r="F11" s="15" t="s">
        <v>141</v>
      </c>
      <c r="G11" s="16" t="s">
        <v>230</v>
      </c>
      <c r="H11" s="17" t="s">
        <v>176</v>
      </c>
    </row>
    <row r="12" spans="1:8" ht="42" customHeight="1" x14ac:dyDescent="0.3">
      <c r="A12" s="15" t="s">
        <v>80</v>
      </c>
      <c r="B12" s="16" t="s">
        <v>51</v>
      </c>
      <c r="C12" s="16" t="s">
        <v>81</v>
      </c>
      <c r="D12" s="27" t="s">
        <v>37</v>
      </c>
      <c r="F12" s="15" t="s">
        <v>51</v>
      </c>
      <c r="G12" s="16" t="s">
        <v>179</v>
      </c>
      <c r="H12" s="17" t="s">
        <v>176</v>
      </c>
    </row>
    <row r="13" spans="1:8" ht="42" customHeight="1" x14ac:dyDescent="0.3">
      <c r="A13" s="15" t="s">
        <v>126</v>
      </c>
      <c r="B13" s="16" t="s">
        <v>51</v>
      </c>
      <c r="C13" s="16" t="s">
        <v>130</v>
      </c>
      <c r="D13" s="17" t="s">
        <v>127</v>
      </c>
      <c r="F13" s="15" t="s">
        <v>75</v>
      </c>
      <c r="G13" s="16" t="s">
        <v>79</v>
      </c>
      <c r="H13" s="17" t="s">
        <v>78</v>
      </c>
    </row>
    <row r="14" spans="1:8" ht="42" customHeight="1" x14ac:dyDescent="0.3">
      <c r="A14" s="15" t="s">
        <v>139</v>
      </c>
      <c r="B14" s="16" t="s">
        <v>51</v>
      </c>
      <c r="C14" s="16" t="s">
        <v>140</v>
      </c>
      <c r="D14" s="27" t="s">
        <v>37</v>
      </c>
      <c r="F14" s="15" t="s">
        <v>76</v>
      </c>
      <c r="G14" s="16" t="s">
        <v>77</v>
      </c>
      <c r="H14" s="17" t="s">
        <v>78</v>
      </c>
    </row>
    <row r="15" spans="1:8" ht="42" customHeight="1" x14ac:dyDescent="0.3">
      <c r="A15" s="15" t="s">
        <v>150</v>
      </c>
      <c r="B15" s="16" t="s">
        <v>51</v>
      </c>
      <c r="C15" s="16" t="s">
        <v>151</v>
      </c>
      <c r="D15" s="27" t="s">
        <v>37</v>
      </c>
      <c r="F15" s="15"/>
      <c r="G15" s="16"/>
      <c r="H15" s="17"/>
    </row>
    <row r="16" spans="1:8" ht="42" customHeight="1" x14ac:dyDescent="0.3">
      <c r="A16" s="15" t="s">
        <v>152</v>
      </c>
      <c r="B16" s="16" t="s">
        <v>51</v>
      </c>
      <c r="C16" s="16" t="s">
        <v>153</v>
      </c>
      <c r="D16" s="27" t="s">
        <v>37</v>
      </c>
      <c r="F16" s="15"/>
      <c r="G16" s="16"/>
      <c r="H16" s="17"/>
    </row>
    <row r="17" spans="1:8" ht="42" customHeight="1" x14ac:dyDescent="0.3">
      <c r="A17" s="15" t="s">
        <v>154</v>
      </c>
      <c r="B17" s="16" t="s">
        <v>51</v>
      </c>
      <c r="C17" s="16" t="s">
        <v>155</v>
      </c>
      <c r="D17" s="27" t="s">
        <v>37</v>
      </c>
      <c r="F17" s="15"/>
      <c r="G17" s="16"/>
      <c r="H17" s="17"/>
    </row>
    <row r="18" spans="1:8" ht="42" customHeight="1" x14ac:dyDescent="0.3">
      <c r="A18" s="15" t="s">
        <v>157</v>
      </c>
      <c r="B18" s="16" t="s">
        <v>51</v>
      </c>
      <c r="C18" s="16" t="s">
        <v>158</v>
      </c>
      <c r="D18" s="27" t="s">
        <v>37</v>
      </c>
      <c r="F18" s="15"/>
      <c r="G18" s="16"/>
      <c r="H18" s="17"/>
    </row>
    <row r="19" spans="1:8" ht="42" customHeight="1" x14ac:dyDescent="0.3">
      <c r="A19" s="15" t="s">
        <v>161</v>
      </c>
      <c r="B19" s="16" t="s">
        <v>51</v>
      </c>
      <c r="C19" s="16" t="s">
        <v>185</v>
      </c>
      <c r="D19" s="27" t="s">
        <v>37</v>
      </c>
      <c r="F19" s="15"/>
      <c r="G19" s="16"/>
      <c r="H19" s="17"/>
    </row>
    <row r="20" spans="1:8" ht="42" customHeight="1" x14ac:dyDescent="0.3">
      <c r="A20" s="15" t="s">
        <v>167</v>
      </c>
      <c r="B20" s="16" t="s">
        <v>51</v>
      </c>
      <c r="C20" s="16" t="s">
        <v>168</v>
      </c>
      <c r="D20" s="27" t="s">
        <v>37</v>
      </c>
      <c r="F20" s="15"/>
      <c r="G20" s="16"/>
      <c r="H20" s="17"/>
    </row>
    <row r="21" spans="1:8" ht="42" customHeight="1" x14ac:dyDescent="0.3">
      <c r="A21" s="15" t="s">
        <v>173</v>
      </c>
      <c r="B21" s="16" t="s">
        <v>51</v>
      </c>
      <c r="C21" s="16" t="s">
        <v>174</v>
      </c>
      <c r="D21" s="17" t="s">
        <v>175</v>
      </c>
      <c r="F21" s="15"/>
      <c r="G21" s="16"/>
      <c r="H21" s="17"/>
    </row>
    <row r="22" spans="1:8" ht="42" customHeight="1" x14ac:dyDescent="0.3">
      <c r="A22" s="15" t="s">
        <v>177</v>
      </c>
      <c r="B22" s="16" t="s">
        <v>51</v>
      </c>
      <c r="C22" s="16" t="s">
        <v>178</v>
      </c>
      <c r="D22" s="28" t="s">
        <v>37</v>
      </c>
      <c r="F22" s="15"/>
      <c r="G22" s="16"/>
      <c r="H22" s="17"/>
    </row>
    <row r="23" spans="1:8" ht="42" customHeight="1" x14ac:dyDescent="0.3">
      <c r="A23" s="15" t="s">
        <v>183</v>
      </c>
      <c r="B23" s="16" t="s">
        <v>51</v>
      </c>
      <c r="C23" s="16" t="s">
        <v>184</v>
      </c>
      <c r="D23" s="28" t="s">
        <v>37</v>
      </c>
      <c r="F23" s="15"/>
      <c r="G23" s="16"/>
      <c r="H23" s="17"/>
    </row>
    <row r="24" spans="1:8" ht="57.6" x14ac:dyDescent="0.3">
      <c r="A24" s="15" t="s">
        <v>212</v>
      </c>
      <c r="B24" s="16" t="s">
        <v>51</v>
      </c>
      <c r="C24" s="16" t="s">
        <v>213</v>
      </c>
      <c r="D24" s="17" t="s">
        <v>214</v>
      </c>
      <c r="F24" s="15"/>
      <c r="G24" s="16"/>
      <c r="H24" s="17"/>
    </row>
    <row r="25" spans="1:8" ht="42" customHeight="1" x14ac:dyDescent="0.3">
      <c r="A25" s="15" t="s">
        <v>216</v>
      </c>
      <c r="B25" s="16" t="s">
        <v>51</v>
      </c>
      <c r="C25" s="16" t="s">
        <v>217</v>
      </c>
      <c r="D25" s="28" t="s">
        <v>37</v>
      </c>
      <c r="F25" s="15"/>
      <c r="G25" s="16"/>
      <c r="H25" s="17"/>
    </row>
    <row r="26" spans="1:8" ht="43.2" x14ac:dyDescent="0.3">
      <c r="A26" s="15" t="s">
        <v>232</v>
      </c>
      <c r="B26" s="16" t="s">
        <v>51</v>
      </c>
      <c r="C26" s="16" t="s">
        <v>231</v>
      </c>
      <c r="D26" s="17" t="s">
        <v>229</v>
      </c>
      <c r="F26" s="15"/>
      <c r="G26" s="16"/>
      <c r="H26" s="17"/>
    </row>
    <row r="27" spans="1:8" ht="57.6" x14ac:dyDescent="0.3">
      <c r="A27" s="15" t="s">
        <v>283</v>
      </c>
      <c r="B27" s="16" t="s">
        <v>51</v>
      </c>
      <c r="C27" s="16" t="s">
        <v>281</v>
      </c>
      <c r="D27" s="28" t="s">
        <v>37</v>
      </c>
      <c r="F27" s="15"/>
      <c r="G27" s="16"/>
      <c r="H27" s="17"/>
    </row>
    <row r="28" spans="1:8" ht="42" customHeight="1" x14ac:dyDescent="0.3">
      <c r="A28" s="15"/>
      <c r="B28" s="16"/>
      <c r="C28" s="16"/>
      <c r="D28" s="17"/>
      <c r="F28" s="15"/>
      <c r="G28" s="16"/>
      <c r="H28" s="17"/>
    </row>
    <row r="29" spans="1:8" ht="42" customHeight="1" x14ac:dyDescent="0.3">
      <c r="A29" s="18"/>
      <c r="B29" s="19"/>
      <c r="C29" s="19"/>
      <c r="D29" s="20"/>
      <c r="F29" s="18"/>
      <c r="G29" s="19"/>
      <c r="H29" s="20"/>
    </row>
    <row r="30" spans="1:8" x14ac:dyDescent="0.3">
      <c r="A30" s="15"/>
      <c r="B30" s="16"/>
      <c r="C30" s="16"/>
      <c r="D30" s="17"/>
    </row>
    <row r="31" spans="1:8" x14ac:dyDescent="0.3">
      <c r="A31" s="15"/>
      <c r="B31" s="16"/>
      <c r="C31" s="16"/>
      <c r="D31" s="17"/>
      <c r="G31" s="5" t="s">
        <v>57</v>
      </c>
      <c r="H31" s="21" t="str" cm="1">
        <f t="array" ref="H31">_xlfn.CONCAT(_xlfn.XLOOKUP(_xlfn.XLOOKUP(TRUE, LogTable[Who?*] &lt;&gt; "", LogTable[Who?*], "¯\_(ツ)_/¯", 0, -1), AuthorTable[Abbr.], AuthorTable[Name], "¯\_(ツ)_/¯", 0, 1), ", ", _xlfn.XLOOKUP(TRUE, LogTable[Date and Time] &lt;&gt; "", LogTable[Date and Time], "¯\_(ツ)_/¯", 0, -1))</f>
        <v>Muhammad Naufal Afif, S.T., 23/09/2026, 22:53 UTC+7</v>
      </c>
    </row>
    <row r="32" spans="1:8" x14ac:dyDescent="0.3">
      <c r="A32" s="15"/>
      <c r="B32" s="16"/>
      <c r="C32" s="16"/>
      <c r="D32" s="17"/>
    </row>
    <row r="33" spans="1:4" x14ac:dyDescent="0.3">
      <c r="A33" s="15"/>
      <c r="B33" s="16"/>
      <c r="C33" s="16"/>
      <c r="D33" s="17"/>
    </row>
    <row r="34" spans="1:4" x14ac:dyDescent="0.3">
      <c r="A34" s="15"/>
      <c r="B34" s="16"/>
      <c r="C34" s="16"/>
      <c r="D34" s="17"/>
    </row>
    <row r="35" spans="1:4" x14ac:dyDescent="0.3">
      <c r="A35" s="15"/>
      <c r="B35" s="16"/>
      <c r="C35" s="16"/>
      <c r="D35" s="17"/>
    </row>
    <row r="36" spans="1:4" x14ac:dyDescent="0.3">
      <c r="A36" s="15"/>
      <c r="B36" s="16"/>
      <c r="C36" s="16"/>
      <c r="D36" s="17"/>
    </row>
    <row r="37" spans="1:4" x14ac:dyDescent="0.3">
      <c r="A37" s="15"/>
      <c r="B37" s="16"/>
      <c r="C37" s="16"/>
      <c r="D37" s="17"/>
    </row>
    <row r="38" spans="1:4" x14ac:dyDescent="0.3">
      <c r="A38" s="15"/>
      <c r="B38" s="16"/>
      <c r="C38" s="16"/>
      <c r="D38" s="17"/>
    </row>
    <row r="39" spans="1:4" x14ac:dyDescent="0.3">
      <c r="A39" s="15"/>
      <c r="B39" s="16"/>
      <c r="C39" s="16"/>
      <c r="D39" s="17"/>
    </row>
    <row r="40" spans="1:4" x14ac:dyDescent="0.3">
      <c r="A40" s="15"/>
      <c r="B40" s="16"/>
      <c r="C40" s="16"/>
      <c r="D40" s="17"/>
    </row>
    <row r="41" spans="1:4" x14ac:dyDescent="0.3">
      <c r="A41" s="15"/>
      <c r="B41" s="16"/>
      <c r="C41" s="16"/>
      <c r="D41" s="17"/>
    </row>
    <row r="42" spans="1:4" x14ac:dyDescent="0.3">
      <c r="A42" s="15"/>
      <c r="B42" s="16"/>
      <c r="C42" s="16"/>
      <c r="D42" s="17"/>
    </row>
    <row r="43" spans="1:4" x14ac:dyDescent="0.3">
      <c r="A43" s="15"/>
      <c r="B43" s="16"/>
      <c r="C43" s="16"/>
      <c r="D43" s="17"/>
    </row>
    <row r="44" spans="1:4" x14ac:dyDescent="0.3">
      <c r="A44" s="15"/>
      <c r="B44" s="16"/>
      <c r="C44" s="16"/>
      <c r="D44" s="17"/>
    </row>
    <row r="45" spans="1:4" x14ac:dyDescent="0.3">
      <c r="A45" s="15"/>
      <c r="B45" s="16"/>
      <c r="C45" s="16"/>
      <c r="D45" s="17"/>
    </row>
    <row r="46" spans="1:4" x14ac:dyDescent="0.3">
      <c r="A46" s="15"/>
      <c r="B46" s="16"/>
      <c r="C46" s="16"/>
      <c r="D46" s="17"/>
    </row>
    <row r="47" spans="1:4" x14ac:dyDescent="0.3">
      <c r="A47" s="15"/>
      <c r="B47" s="16"/>
      <c r="C47" s="16"/>
      <c r="D47" s="17"/>
    </row>
    <row r="48" spans="1:4" x14ac:dyDescent="0.3">
      <c r="A48" s="15"/>
      <c r="B48" s="16"/>
      <c r="C48" s="16"/>
      <c r="D48" s="17"/>
    </row>
    <row r="49" spans="1:4" x14ac:dyDescent="0.3">
      <c r="A49" s="15"/>
      <c r="B49" s="16"/>
      <c r="C49" s="16"/>
      <c r="D49" s="17"/>
    </row>
    <row r="50" spans="1:4" x14ac:dyDescent="0.3">
      <c r="A50" s="15"/>
      <c r="B50" s="16"/>
      <c r="C50" s="16"/>
      <c r="D50" s="17"/>
    </row>
    <row r="51" spans="1:4" x14ac:dyDescent="0.3">
      <c r="A51" s="15"/>
      <c r="B51" s="16"/>
      <c r="C51" s="16"/>
      <c r="D51" s="17"/>
    </row>
    <row r="52" spans="1:4" x14ac:dyDescent="0.3">
      <c r="A52" s="15"/>
      <c r="B52" s="16"/>
      <c r="C52" s="16"/>
      <c r="D52" s="17"/>
    </row>
    <row r="53" spans="1:4" x14ac:dyDescent="0.3">
      <c r="A53" s="15"/>
      <c r="B53" s="16"/>
      <c r="C53" s="16"/>
      <c r="D53" s="17"/>
    </row>
    <row r="54" spans="1:4" x14ac:dyDescent="0.3">
      <c r="A54" s="15"/>
      <c r="B54" s="16"/>
      <c r="C54" s="16"/>
      <c r="D54" s="17"/>
    </row>
    <row r="55" spans="1:4" x14ac:dyDescent="0.3">
      <c r="A55" s="15"/>
      <c r="B55" s="16"/>
      <c r="C55" s="16"/>
      <c r="D55" s="17"/>
    </row>
    <row r="56" spans="1:4" x14ac:dyDescent="0.3">
      <c r="A56" s="15"/>
      <c r="B56" s="16"/>
      <c r="C56" s="16"/>
      <c r="D56" s="17"/>
    </row>
    <row r="57" spans="1:4" x14ac:dyDescent="0.3">
      <c r="A57" s="15"/>
      <c r="B57" s="16"/>
      <c r="C57" s="16"/>
      <c r="D57" s="17"/>
    </row>
    <row r="58" spans="1:4" x14ac:dyDescent="0.3">
      <c r="A58" s="15"/>
      <c r="B58" s="16"/>
      <c r="C58" s="16"/>
      <c r="D58" s="17"/>
    </row>
    <row r="59" spans="1:4" x14ac:dyDescent="0.3">
      <c r="A59" s="15"/>
      <c r="B59" s="16"/>
      <c r="C59" s="16"/>
      <c r="D59" s="17"/>
    </row>
    <row r="60" spans="1:4" x14ac:dyDescent="0.3">
      <c r="A60" s="15"/>
      <c r="B60" s="16"/>
      <c r="C60" s="16"/>
      <c r="D60" s="17"/>
    </row>
    <row r="61" spans="1:4" x14ac:dyDescent="0.3">
      <c r="A61" s="15"/>
      <c r="B61" s="16"/>
      <c r="C61" s="16"/>
      <c r="D61" s="17"/>
    </row>
    <row r="62" spans="1:4" x14ac:dyDescent="0.3">
      <c r="A62" s="15"/>
      <c r="B62" s="16"/>
      <c r="C62" s="16"/>
      <c r="D62" s="17"/>
    </row>
    <row r="63" spans="1:4" x14ac:dyDescent="0.3">
      <c r="A63" s="15"/>
      <c r="B63" s="16"/>
      <c r="C63" s="16"/>
      <c r="D63" s="17"/>
    </row>
    <row r="64" spans="1:4" x14ac:dyDescent="0.3">
      <c r="A64" s="15"/>
      <c r="B64" s="16"/>
      <c r="C64" s="16"/>
      <c r="D64" s="17"/>
    </row>
    <row r="65" spans="1:4" x14ac:dyDescent="0.3">
      <c r="A65" s="15"/>
      <c r="B65" s="16"/>
      <c r="C65" s="16"/>
      <c r="D65" s="17"/>
    </row>
    <row r="66" spans="1:4" x14ac:dyDescent="0.3">
      <c r="A66" s="15"/>
      <c r="B66" s="16"/>
      <c r="C66" s="16"/>
      <c r="D66" s="17"/>
    </row>
    <row r="67" spans="1:4" x14ac:dyDescent="0.3">
      <c r="A67" s="15"/>
      <c r="B67" s="16"/>
      <c r="C67" s="16"/>
      <c r="D67" s="17"/>
    </row>
    <row r="68" spans="1:4" x14ac:dyDescent="0.3">
      <c r="A68" s="15"/>
      <c r="B68" s="16"/>
      <c r="C68" s="16"/>
      <c r="D68" s="17"/>
    </row>
    <row r="69" spans="1:4" x14ac:dyDescent="0.3">
      <c r="A69" s="15"/>
      <c r="B69" s="16"/>
      <c r="C69" s="16"/>
      <c r="D69" s="17"/>
    </row>
    <row r="70" spans="1:4" x14ac:dyDescent="0.3">
      <c r="A70" s="15"/>
      <c r="B70" s="16"/>
      <c r="C70" s="16"/>
      <c r="D70" s="17"/>
    </row>
    <row r="71" spans="1:4" x14ac:dyDescent="0.3">
      <c r="A71" s="15"/>
      <c r="B71" s="16"/>
      <c r="C71" s="16"/>
      <c r="D71" s="17"/>
    </row>
    <row r="72" spans="1:4" x14ac:dyDescent="0.3">
      <c r="A72" s="15"/>
      <c r="B72" s="16"/>
      <c r="C72" s="16"/>
      <c r="D72" s="17"/>
    </row>
    <row r="73" spans="1:4" x14ac:dyDescent="0.3">
      <c r="A73" s="15"/>
      <c r="B73" s="16"/>
      <c r="C73" s="16"/>
      <c r="D73" s="17"/>
    </row>
    <row r="74" spans="1:4" x14ac:dyDescent="0.3">
      <c r="A74" s="15"/>
      <c r="B74" s="16"/>
      <c r="C74" s="16"/>
      <c r="D74" s="17"/>
    </row>
    <row r="75" spans="1:4" x14ac:dyDescent="0.3">
      <c r="A75" s="15"/>
      <c r="B75" s="16"/>
      <c r="C75" s="16"/>
      <c r="D75" s="17"/>
    </row>
    <row r="76" spans="1:4" x14ac:dyDescent="0.3">
      <c r="A76" s="15"/>
      <c r="B76" s="16"/>
      <c r="C76" s="16"/>
      <c r="D76" s="17"/>
    </row>
    <row r="77" spans="1:4" x14ac:dyDescent="0.3">
      <c r="A77" s="15"/>
      <c r="B77" s="16"/>
      <c r="C77" s="16"/>
      <c r="D77" s="17"/>
    </row>
    <row r="78" spans="1:4" x14ac:dyDescent="0.3">
      <c r="A78" s="15"/>
      <c r="B78" s="16"/>
      <c r="C78" s="16"/>
      <c r="D78" s="17"/>
    </row>
    <row r="79" spans="1:4" x14ac:dyDescent="0.3">
      <c r="A79" s="15"/>
      <c r="B79" s="16"/>
      <c r="C79" s="16"/>
      <c r="D79" s="17"/>
    </row>
    <row r="80" spans="1:4" x14ac:dyDescent="0.3">
      <c r="A80" s="15"/>
      <c r="B80" s="16"/>
      <c r="C80" s="16"/>
      <c r="D80" s="17"/>
    </row>
    <row r="81" spans="1:4" x14ac:dyDescent="0.3">
      <c r="A81" s="15"/>
      <c r="B81" s="16"/>
      <c r="C81" s="16"/>
      <c r="D81" s="17"/>
    </row>
    <row r="82" spans="1:4" x14ac:dyDescent="0.3">
      <c r="A82" s="15"/>
      <c r="B82" s="16"/>
      <c r="C82" s="16"/>
      <c r="D82" s="17"/>
    </row>
    <row r="83" spans="1:4" x14ac:dyDescent="0.3">
      <c r="A83" s="15"/>
      <c r="B83" s="16"/>
      <c r="C83" s="16"/>
      <c r="D83" s="17"/>
    </row>
    <row r="84" spans="1:4" x14ac:dyDescent="0.3">
      <c r="A84" s="15"/>
      <c r="B84" s="16"/>
      <c r="C84" s="16"/>
      <c r="D84" s="17"/>
    </row>
    <row r="85" spans="1:4" x14ac:dyDescent="0.3">
      <c r="A85" s="15"/>
      <c r="B85" s="16"/>
      <c r="C85" s="16"/>
      <c r="D85" s="17"/>
    </row>
    <row r="86" spans="1:4" x14ac:dyDescent="0.3">
      <c r="A86" s="15"/>
      <c r="B86" s="16"/>
      <c r="C86" s="16"/>
      <c r="D86" s="17"/>
    </row>
    <row r="87" spans="1:4" x14ac:dyDescent="0.3">
      <c r="A87" s="15"/>
      <c r="B87" s="16"/>
      <c r="C87" s="16"/>
      <c r="D87" s="17"/>
    </row>
    <row r="88" spans="1:4" x14ac:dyDescent="0.3">
      <c r="A88" s="15"/>
      <c r="B88" s="16"/>
      <c r="C88" s="16"/>
      <c r="D88" s="17"/>
    </row>
    <row r="89" spans="1:4" x14ac:dyDescent="0.3">
      <c r="A89" s="15"/>
      <c r="B89" s="16"/>
      <c r="C89" s="16"/>
      <c r="D89" s="17"/>
    </row>
    <row r="90" spans="1:4" x14ac:dyDescent="0.3">
      <c r="A90" s="15"/>
      <c r="B90" s="16"/>
      <c r="C90" s="16"/>
      <c r="D90" s="17"/>
    </row>
    <row r="91" spans="1:4" x14ac:dyDescent="0.3">
      <c r="A91" s="15"/>
      <c r="B91" s="16"/>
      <c r="C91" s="16"/>
      <c r="D91" s="17"/>
    </row>
    <row r="92" spans="1:4" x14ac:dyDescent="0.3">
      <c r="A92" s="15"/>
      <c r="B92" s="16"/>
      <c r="C92" s="16"/>
      <c r="D92" s="17"/>
    </row>
    <row r="93" spans="1:4" x14ac:dyDescent="0.3">
      <c r="A93" s="15"/>
      <c r="B93" s="16"/>
      <c r="C93" s="16"/>
      <c r="D93" s="17"/>
    </row>
    <row r="94" spans="1:4" x14ac:dyDescent="0.3">
      <c r="A94" s="15"/>
      <c r="B94" s="16"/>
      <c r="C94" s="16"/>
      <c r="D94" s="17"/>
    </row>
    <row r="95" spans="1:4" x14ac:dyDescent="0.3">
      <c r="A95" s="15"/>
      <c r="B95" s="16"/>
      <c r="C95" s="16"/>
      <c r="D95" s="17"/>
    </row>
    <row r="96" spans="1:4" x14ac:dyDescent="0.3">
      <c r="A96" s="15"/>
      <c r="B96" s="16"/>
      <c r="C96" s="16"/>
      <c r="D96" s="17"/>
    </row>
    <row r="97" spans="1:4" x14ac:dyDescent="0.3">
      <c r="A97" s="15"/>
      <c r="B97" s="16"/>
      <c r="C97" s="16"/>
      <c r="D97" s="17"/>
    </row>
    <row r="98" spans="1:4" x14ac:dyDescent="0.3">
      <c r="A98" s="15"/>
      <c r="B98" s="16"/>
      <c r="C98" s="16"/>
      <c r="D98" s="17"/>
    </row>
    <row r="99" spans="1:4" x14ac:dyDescent="0.3">
      <c r="A99" s="15"/>
      <c r="B99" s="16"/>
      <c r="C99" s="16"/>
      <c r="D99" s="17"/>
    </row>
    <row r="100" spans="1:4" x14ac:dyDescent="0.3">
      <c r="A100" s="15"/>
      <c r="B100" s="16"/>
      <c r="C100" s="16"/>
      <c r="D100" s="17"/>
    </row>
    <row r="101" spans="1:4" x14ac:dyDescent="0.3">
      <c r="A101" s="15"/>
      <c r="B101" s="16"/>
      <c r="C101" s="16"/>
      <c r="D101" s="17"/>
    </row>
    <row r="102" spans="1:4" x14ac:dyDescent="0.3">
      <c r="A102" s="15"/>
      <c r="B102" s="16"/>
      <c r="C102" s="16"/>
      <c r="D102" s="17"/>
    </row>
    <row r="103" spans="1:4" x14ac:dyDescent="0.3">
      <c r="A103" s="15"/>
      <c r="B103" s="16"/>
      <c r="C103" s="16"/>
      <c r="D103" s="17"/>
    </row>
    <row r="104" spans="1:4" x14ac:dyDescent="0.3">
      <c r="A104" s="15"/>
      <c r="B104" s="16"/>
      <c r="C104" s="16"/>
      <c r="D104" s="17"/>
    </row>
    <row r="105" spans="1:4" x14ac:dyDescent="0.3">
      <c r="A105" s="15"/>
      <c r="B105" s="16"/>
      <c r="C105" s="16"/>
      <c r="D105" s="17"/>
    </row>
    <row r="106" spans="1:4" x14ac:dyDescent="0.3">
      <c r="A106" s="15"/>
      <c r="B106" s="16"/>
      <c r="C106" s="16"/>
      <c r="D106" s="17"/>
    </row>
    <row r="107" spans="1:4" x14ac:dyDescent="0.3">
      <c r="A107" s="15"/>
      <c r="B107" s="16"/>
      <c r="C107" s="16"/>
      <c r="D107" s="17"/>
    </row>
    <row r="108" spans="1:4" x14ac:dyDescent="0.3">
      <c r="A108" s="15"/>
      <c r="B108" s="16"/>
      <c r="C108" s="16"/>
      <c r="D108" s="17"/>
    </row>
    <row r="109" spans="1:4" x14ac:dyDescent="0.3">
      <c r="A109" s="15"/>
      <c r="B109" s="16"/>
      <c r="C109" s="16"/>
      <c r="D109" s="17"/>
    </row>
    <row r="110" spans="1:4" x14ac:dyDescent="0.3">
      <c r="A110" s="15"/>
      <c r="B110" s="16"/>
      <c r="C110" s="16"/>
      <c r="D110" s="17"/>
    </row>
    <row r="111" spans="1:4" x14ac:dyDescent="0.3">
      <c r="A111" s="15"/>
      <c r="B111" s="16"/>
      <c r="C111" s="16"/>
      <c r="D111" s="17"/>
    </row>
    <row r="112" spans="1:4" x14ac:dyDescent="0.3">
      <c r="A112" s="15"/>
      <c r="B112" s="16"/>
      <c r="C112" s="16"/>
      <c r="D112" s="17"/>
    </row>
    <row r="113" spans="1:4" x14ac:dyDescent="0.3">
      <c r="A113" s="15"/>
      <c r="B113" s="16"/>
      <c r="C113" s="16"/>
      <c r="D113" s="17"/>
    </row>
    <row r="114" spans="1:4" x14ac:dyDescent="0.3">
      <c r="A114" s="15"/>
      <c r="B114" s="16"/>
      <c r="C114" s="16"/>
      <c r="D114" s="17"/>
    </row>
    <row r="115" spans="1:4" x14ac:dyDescent="0.3">
      <c r="A115" s="15"/>
      <c r="B115" s="16"/>
      <c r="C115" s="16"/>
      <c r="D115" s="17"/>
    </row>
    <row r="116" spans="1:4" x14ac:dyDescent="0.3">
      <c r="A116" s="15"/>
      <c r="B116" s="16"/>
      <c r="C116" s="16"/>
      <c r="D116" s="17"/>
    </row>
    <row r="117" spans="1:4" x14ac:dyDescent="0.3">
      <c r="A117" s="15"/>
      <c r="B117" s="16"/>
      <c r="C117" s="16"/>
      <c r="D117" s="17"/>
    </row>
    <row r="118" spans="1:4" x14ac:dyDescent="0.3">
      <c r="A118" s="15"/>
      <c r="B118" s="16"/>
      <c r="C118" s="16"/>
      <c r="D118" s="17"/>
    </row>
    <row r="119" spans="1:4" x14ac:dyDescent="0.3">
      <c r="A119" s="15"/>
      <c r="B119" s="16"/>
      <c r="C119" s="16"/>
      <c r="D119" s="17"/>
    </row>
    <row r="120" spans="1:4" x14ac:dyDescent="0.3">
      <c r="A120" s="15"/>
      <c r="B120" s="16"/>
      <c r="C120" s="16"/>
      <c r="D120" s="17"/>
    </row>
    <row r="121" spans="1:4" x14ac:dyDescent="0.3">
      <c r="A121" s="15"/>
      <c r="B121" s="16"/>
      <c r="C121" s="16"/>
      <c r="D121" s="17"/>
    </row>
    <row r="122" spans="1:4" x14ac:dyDescent="0.3">
      <c r="A122" s="15"/>
      <c r="B122" s="16"/>
      <c r="C122" s="16"/>
      <c r="D122" s="17"/>
    </row>
    <row r="123" spans="1:4" x14ac:dyDescent="0.3">
      <c r="A123" s="15"/>
      <c r="B123" s="16"/>
      <c r="C123" s="16"/>
      <c r="D123" s="17"/>
    </row>
    <row r="124" spans="1:4" x14ac:dyDescent="0.3">
      <c r="A124" s="15"/>
      <c r="B124" s="16"/>
      <c r="C124" s="16"/>
      <c r="D124" s="17"/>
    </row>
    <row r="125" spans="1:4" x14ac:dyDescent="0.3">
      <c r="A125" s="15"/>
      <c r="B125" s="16"/>
      <c r="C125" s="16"/>
      <c r="D125" s="17"/>
    </row>
    <row r="126" spans="1:4" x14ac:dyDescent="0.3">
      <c r="A126" s="15"/>
      <c r="B126" s="16"/>
      <c r="C126" s="16"/>
      <c r="D126" s="17"/>
    </row>
    <row r="127" spans="1:4" x14ac:dyDescent="0.3">
      <c r="A127" s="15"/>
      <c r="B127" s="16"/>
      <c r="C127" s="16"/>
      <c r="D127" s="17"/>
    </row>
    <row r="128" spans="1:4" x14ac:dyDescent="0.3">
      <c r="A128" s="15"/>
      <c r="B128" s="16"/>
      <c r="C128" s="16"/>
      <c r="D128" s="17"/>
    </row>
    <row r="129" spans="1:4" x14ac:dyDescent="0.3">
      <c r="A129" s="15"/>
      <c r="B129" s="16"/>
      <c r="C129" s="16"/>
      <c r="D129" s="17"/>
    </row>
    <row r="130" spans="1:4" x14ac:dyDescent="0.3">
      <c r="A130" s="15"/>
      <c r="B130" s="16"/>
      <c r="C130" s="16"/>
      <c r="D130" s="17"/>
    </row>
    <row r="131" spans="1:4" x14ac:dyDescent="0.3">
      <c r="A131" s="15"/>
      <c r="B131" s="16"/>
      <c r="C131" s="16"/>
      <c r="D131" s="17"/>
    </row>
    <row r="132" spans="1:4" x14ac:dyDescent="0.3">
      <c r="A132" s="15"/>
      <c r="B132" s="16"/>
      <c r="C132" s="16"/>
      <c r="D132" s="17"/>
    </row>
    <row r="133" spans="1:4" x14ac:dyDescent="0.3">
      <c r="A133" s="15"/>
      <c r="B133" s="16"/>
      <c r="C133" s="16"/>
      <c r="D133" s="17"/>
    </row>
    <row r="134" spans="1:4" x14ac:dyDescent="0.3">
      <c r="A134" s="15"/>
      <c r="B134" s="16"/>
      <c r="C134" s="16"/>
      <c r="D134" s="17"/>
    </row>
    <row r="135" spans="1:4" x14ac:dyDescent="0.3">
      <c r="A135" s="15"/>
      <c r="B135" s="16"/>
      <c r="C135" s="16"/>
      <c r="D135" s="17"/>
    </row>
    <row r="136" spans="1:4" x14ac:dyDescent="0.3">
      <c r="A136" s="15"/>
      <c r="B136" s="16"/>
      <c r="C136" s="16"/>
      <c r="D136" s="17"/>
    </row>
    <row r="137" spans="1:4" x14ac:dyDescent="0.3">
      <c r="A137" s="15"/>
      <c r="B137" s="16"/>
      <c r="C137" s="16"/>
      <c r="D137" s="17"/>
    </row>
    <row r="138" spans="1:4" x14ac:dyDescent="0.3">
      <c r="A138" s="15"/>
      <c r="B138" s="16"/>
      <c r="C138" s="16"/>
      <c r="D138" s="17"/>
    </row>
    <row r="139" spans="1:4" x14ac:dyDescent="0.3">
      <c r="A139" s="15"/>
      <c r="B139" s="16"/>
      <c r="C139" s="16"/>
      <c r="D139" s="17"/>
    </row>
    <row r="140" spans="1:4" x14ac:dyDescent="0.3">
      <c r="A140" s="15"/>
      <c r="B140" s="16"/>
      <c r="C140" s="16"/>
      <c r="D140" s="17"/>
    </row>
    <row r="141" spans="1:4" x14ac:dyDescent="0.3">
      <c r="A141" s="15"/>
      <c r="B141" s="16"/>
      <c r="C141" s="16"/>
      <c r="D141" s="17"/>
    </row>
    <row r="142" spans="1:4" x14ac:dyDescent="0.3">
      <c r="A142" s="15"/>
      <c r="B142" s="16"/>
      <c r="C142" s="16"/>
      <c r="D142" s="17"/>
    </row>
    <row r="143" spans="1:4" x14ac:dyDescent="0.3">
      <c r="A143" s="15"/>
      <c r="B143" s="16"/>
      <c r="C143" s="16"/>
      <c r="D143" s="17"/>
    </row>
    <row r="144" spans="1:4" x14ac:dyDescent="0.3">
      <c r="A144" s="15"/>
      <c r="B144" s="16"/>
      <c r="C144" s="16"/>
      <c r="D144" s="17"/>
    </row>
    <row r="145" spans="1:4" x14ac:dyDescent="0.3">
      <c r="A145" s="15"/>
      <c r="B145" s="16"/>
      <c r="C145" s="16"/>
      <c r="D145" s="17"/>
    </row>
    <row r="146" spans="1:4" x14ac:dyDescent="0.3">
      <c r="A146" s="15"/>
      <c r="B146" s="16"/>
      <c r="C146" s="16"/>
      <c r="D146" s="17"/>
    </row>
    <row r="147" spans="1:4" x14ac:dyDescent="0.3">
      <c r="A147" s="15"/>
      <c r="B147" s="16"/>
      <c r="C147" s="16"/>
      <c r="D147" s="17"/>
    </row>
    <row r="148" spans="1:4" x14ac:dyDescent="0.3">
      <c r="A148" s="15"/>
      <c r="B148" s="16"/>
      <c r="C148" s="16"/>
      <c r="D148" s="17"/>
    </row>
    <row r="149" spans="1:4" x14ac:dyDescent="0.3">
      <c r="A149" s="15"/>
      <c r="B149" s="16"/>
      <c r="C149" s="16"/>
      <c r="D149" s="17"/>
    </row>
    <row r="150" spans="1:4" x14ac:dyDescent="0.3">
      <c r="A150" s="15"/>
      <c r="B150" s="16"/>
      <c r="C150" s="16"/>
      <c r="D150" s="17"/>
    </row>
    <row r="151" spans="1:4" x14ac:dyDescent="0.3">
      <c r="A151" s="15"/>
      <c r="B151" s="16"/>
      <c r="C151" s="16"/>
      <c r="D151" s="17"/>
    </row>
    <row r="152" spans="1:4" x14ac:dyDescent="0.3">
      <c r="A152" s="15"/>
      <c r="B152" s="16"/>
      <c r="C152" s="16"/>
      <c r="D152" s="17"/>
    </row>
    <row r="153" spans="1:4" x14ac:dyDescent="0.3">
      <c r="A153" s="15"/>
      <c r="B153" s="16"/>
      <c r="C153" s="16"/>
      <c r="D153" s="17"/>
    </row>
    <row r="154" spans="1:4" x14ac:dyDescent="0.3">
      <c r="A154" s="15"/>
      <c r="B154" s="16"/>
      <c r="C154" s="16"/>
      <c r="D154" s="17"/>
    </row>
    <row r="155" spans="1:4" x14ac:dyDescent="0.3">
      <c r="A155" s="18"/>
      <c r="B155" s="19"/>
      <c r="C155" s="19"/>
      <c r="D155" s="20"/>
    </row>
  </sheetData>
  <mergeCells count="3">
    <mergeCell ref="B2:C2"/>
    <mergeCell ref="F6:H6"/>
    <mergeCell ref="A3:H3"/>
  </mergeCells>
  <phoneticPr fontId="2" type="noConversion"/>
  <dataValidations count="1">
    <dataValidation type="list" allowBlank="1" showInputMessage="1" showErrorMessage="1" sqref="B6:B155" xr:uid="{7B16103C-6670-42BF-A0DD-7E002CEAB315}">
      <formula1>$F$8:$F$29</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 Intro</vt:lpstr>
      <vt:lpstr>Data Input</vt:lpstr>
      <vt:lpstr>Initial Sizing</vt:lpstr>
      <vt:lpstr>Geometry</vt:lpstr>
      <vt:lpstr>Weight Analysis - Initial</vt:lpstr>
      <vt:lpstr>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Naufal Afif</dc:creator>
  <cp:lastModifiedBy>Muhammad Naufal Afif</cp:lastModifiedBy>
  <dcterms:created xsi:type="dcterms:W3CDTF">2025-01-11T12:31:50Z</dcterms:created>
  <dcterms:modified xsi:type="dcterms:W3CDTF">2026-09-23T16:01:03Z</dcterms:modified>
</cp:coreProperties>
</file>